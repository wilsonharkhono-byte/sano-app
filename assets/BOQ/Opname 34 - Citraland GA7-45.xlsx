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OPM34" sheetId="1" r:id="rId1"/>
  </sheets>
  <externalReferences>
    <externalReference r:id="rId2"/>
    <externalReference r:id="rId3"/>
  </externalReferences>
  <calcPr calcId="124519"/>
</workbook>
</file>

<file path=xl/calcChain.xml><?xml version="1.0" encoding="utf-8"?>
<calcChain xmlns="http://schemas.openxmlformats.org/spreadsheetml/2006/main">
  <c r="O47" i="1"/>
  <c r="O46"/>
  <c r="K41"/>
  <c r="L36"/>
  <c r="K36"/>
  <c r="H36"/>
  <c r="O36" s="1"/>
  <c r="O35"/>
  <c r="I35"/>
  <c r="H35"/>
  <c r="L35" s="1"/>
  <c r="H34"/>
  <c r="O34" s="1"/>
  <c r="G34"/>
  <c r="K34" s="1"/>
  <c r="O33"/>
  <c r="K33"/>
  <c r="I33"/>
  <c r="H33"/>
  <c r="M33" s="1"/>
  <c r="G33"/>
  <c r="L33" s="1"/>
  <c r="O30"/>
  <c r="I30"/>
  <c r="H30"/>
  <c r="K30" s="1"/>
  <c r="G30"/>
  <c r="L30" s="1"/>
  <c r="H29"/>
  <c r="M29" s="1"/>
  <c r="G29"/>
  <c r="K29" s="1"/>
  <c r="H28"/>
  <c r="O28" s="1"/>
  <c r="G28"/>
  <c r="K28" s="1"/>
  <c r="O25"/>
  <c r="K25"/>
  <c r="I25"/>
  <c r="H25"/>
  <c r="M25" s="1"/>
  <c r="G25"/>
  <c r="L25" s="1"/>
  <c r="O24"/>
  <c r="I24"/>
  <c r="H24"/>
  <c r="K24" s="1"/>
  <c r="G24"/>
  <c r="L24" s="1"/>
  <c r="H23"/>
  <c r="M23" s="1"/>
  <c r="G23"/>
  <c r="K23" s="1"/>
  <c r="H22"/>
  <c r="O22" s="1"/>
  <c r="G22"/>
  <c r="K22" s="1"/>
  <c r="O17"/>
  <c r="K17"/>
  <c r="I17"/>
  <c r="H17"/>
  <c r="M17" s="1"/>
  <c r="G17"/>
  <c r="L17" s="1"/>
  <c r="K12"/>
  <c r="G12"/>
  <c r="D6"/>
  <c r="D5"/>
  <c r="O38" l="1"/>
  <c r="O39" s="1"/>
  <c r="L22"/>
  <c r="L28"/>
  <c r="L34"/>
  <c r="L23"/>
  <c r="M24"/>
  <c r="M30"/>
  <c r="M35"/>
  <c r="M22"/>
  <c r="I23"/>
  <c r="O23"/>
  <c r="M28"/>
  <c r="I29"/>
  <c r="O29"/>
  <c r="M34"/>
  <c r="K35"/>
  <c r="K38" s="1"/>
  <c r="M36"/>
  <c r="L29"/>
  <c r="I22"/>
  <c r="I28"/>
  <c r="I34"/>
  <c r="I36"/>
  <c r="K40" l="1"/>
  <c r="K42" s="1"/>
  <c r="K44" s="1"/>
  <c r="K39"/>
  <c r="P39" s="1"/>
</calcChain>
</file>

<file path=xl/sharedStrings.xml><?xml version="1.0" encoding="utf-8"?>
<sst xmlns="http://schemas.openxmlformats.org/spreadsheetml/2006/main" count="74" uniqueCount="62">
  <si>
    <t>OPNAME MINGGUAN</t>
  </si>
  <si>
    <t>PROYEK</t>
  </si>
  <si>
    <t xml:space="preserve">: Rumah Tinggal </t>
  </si>
  <si>
    <t>PEMILIK PROYEK</t>
  </si>
  <si>
    <t>ALAMAT</t>
  </si>
  <si>
    <t>Opname Minggu ke : 34</t>
  </si>
  <si>
    <t>Hari : Rabu</t>
  </si>
  <si>
    <t>Tgl : 01</t>
  </si>
  <si>
    <t>Bln: Agustus</t>
  </si>
  <si>
    <t>Thn : 2018</t>
  </si>
  <si>
    <t>No.</t>
  </si>
  <si>
    <t>Item Pekerjaan</t>
  </si>
  <si>
    <t>Volume</t>
  </si>
  <si>
    <t>Volume yg telah Diopname</t>
  </si>
  <si>
    <t>Volume Opname Minggu Ini</t>
  </si>
  <si>
    <t>Volume Sisa</t>
  </si>
  <si>
    <t>Harga Satuan</t>
  </si>
  <si>
    <t>Harga Total</t>
  </si>
  <si>
    <t>%</t>
  </si>
  <si>
    <t xml:space="preserve">Ket. </t>
  </si>
  <si>
    <t>Item Pek. 100% 19 Oktober 2017</t>
  </si>
  <si>
    <t>1 ls</t>
  </si>
  <si>
    <t>-</t>
  </si>
  <si>
    <t>III</t>
  </si>
  <si>
    <t>PEKERJAAN SALURAN</t>
  </si>
  <si>
    <t>pasang pipa 2,5" dalam dinding cor</t>
  </si>
  <si>
    <r>
      <t>m</t>
    </r>
    <r>
      <rPr>
        <vertAlign val="superscript"/>
        <sz val="11"/>
        <rFont val="Calibri"/>
        <family val="2"/>
      </rPr>
      <t>1</t>
    </r>
  </si>
  <si>
    <t>IV</t>
  </si>
  <si>
    <t>PEKERJAAN STRUKTUR BASEMENT</t>
  </si>
  <si>
    <t>VII</t>
  </si>
  <si>
    <t>PEKERJAAN STRUKTUR LANTAI I</t>
  </si>
  <si>
    <t>Cor kolom praktis 20 x 20</t>
  </si>
  <si>
    <t>Cor ring tengah 18 x 20</t>
  </si>
  <si>
    <t>Pasang batu dinding batu</t>
  </si>
  <si>
    <r>
      <t>m</t>
    </r>
    <r>
      <rPr>
        <vertAlign val="superscript"/>
        <sz val="11"/>
        <rFont val="Calibri"/>
        <family val="2"/>
      </rPr>
      <t>2</t>
    </r>
    <r>
      <rPr>
        <sz val="11"/>
        <color theme="1"/>
        <rFont val="Calibri"/>
        <family val="2"/>
        <charset val="1"/>
        <scheme val="minor"/>
      </rPr>
      <t/>
    </r>
  </si>
  <si>
    <t>Pasang andang + bongkar</t>
  </si>
  <si>
    <t>VIII</t>
  </si>
  <si>
    <t>PEKERJAAN STRUKTUR LANTAI II</t>
  </si>
  <si>
    <t>Cor ring tengah 20 x 20</t>
  </si>
  <si>
    <t>Pasang batu dinding batu (salah ketik)</t>
  </si>
  <si>
    <t xml:space="preserve">IX </t>
  </si>
  <si>
    <t>PEKERJAAN STRUKTUR LANTAI III</t>
  </si>
  <si>
    <t>Beqisting plat balok</t>
  </si>
  <si>
    <r>
      <t>m</t>
    </r>
    <r>
      <rPr>
        <vertAlign val="superscript"/>
        <sz val="11"/>
        <rFont val="Calibri"/>
        <family val="2"/>
      </rPr>
      <t>2</t>
    </r>
  </si>
  <si>
    <t>Pembesian plat + balok</t>
  </si>
  <si>
    <t>kg</t>
  </si>
  <si>
    <t>Cor plat + balok (readymix)</t>
  </si>
  <si>
    <r>
      <t>m</t>
    </r>
    <r>
      <rPr>
        <vertAlign val="superscript"/>
        <sz val="11"/>
        <rFont val="Calibri"/>
        <family val="2"/>
      </rPr>
      <t>3</t>
    </r>
  </si>
  <si>
    <t>Beqisting plat beda level tambahan dan perubahan balok</t>
  </si>
  <si>
    <t>Jumlah =</t>
  </si>
  <si>
    <t>Retensi 10% =</t>
  </si>
  <si>
    <t>--</t>
  </si>
  <si>
    <t>Nb :</t>
  </si>
  <si>
    <t>1. Mandor Abd. Kholik</t>
  </si>
  <si>
    <t>Yang dibayarkan sampai minggu kemarin =</t>
  </si>
  <si>
    <t>2. Total kasbon retensi  =</t>
  </si>
  <si>
    <t>Dibayarkan =</t>
  </si>
  <si>
    <t>cek</t>
  </si>
  <si>
    <t>TOTAL =</t>
  </si>
  <si>
    <t>DIBUAT OLEH</t>
  </si>
  <si>
    <t>DISETUJUI</t>
  </si>
  <si>
    <t>MENGETAHUI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</si>
</sst>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>
    <font>
      <sz val="11"/>
      <color indexed="8"/>
      <name val="Calibri"/>
      <family val="2"/>
    </font>
    <font>
      <sz val="11"/>
      <color indexed="8"/>
      <name val="Calibri"/>
      <family val="2"/>
    </font>
    <font>
      <sz val="18"/>
      <name val="Arial Black"/>
      <family val="2"/>
    </font>
    <font>
      <sz val="14"/>
      <name val="Arial"/>
      <family val="2"/>
    </font>
    <font>
      <b/>
      <sz val="10"/>
      <name val="Arial Black"/>
      <family val="2"/>
    </font>
    <font>
      <u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name val="Calibri"/>
      <family val="2"/>
    </font>
    <font>
      <b/>
      <u/>
      <sz val="11"/>
      <color indexed="8"/>
      <name val="Calibri"/>
      <family val="2"/>
    </font>
    <font>
      <vertAlign val="superscript"/>
      <sz val="11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2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/>
    <xf numFmtId="0" fontId="5" fillId="0" borderId="0" xfId="0" applyFont="1" applyBorder="1"/>
    <xf numFmtId="0" fontId="0" fillId="0" borderId="0" xfId="0" applyFont="1" applyFill="1" applyAlignment="1"/>
    <xf numFmtId="0" fontId="6" fillId="0" borderId="0" xfId="0" applyFont="1" applyBorder="1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/>
    <xf numFmtId="3" fontId="0" fillId="0" borderId="2" xfId="0" applyNumberFormat="1" applyBorder="1" applyAlignment="1">
      <alignment horizontal="centerContinuous"/>
    </xf>
    <xf numFmtId="3" fontId="0" fillId="0" borderId="3" xfId="0" applyNumberFormat="1" applyBorder="1" applyAlignment="1">
      <alignment horizontal="centerContinuous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 wrapText="1"/>
    </xf>
    <xf numFmtId="0" fontId="7" fillId="0" borderId="7" xfId="0" applyFont="1" applyBorder="1" applyAlignment="1">
      <alignment horizontal="centerContinuous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/>
    <xf numFmtId="0" fontId="0" fillId="0" borderId="11" xfId="0" quotePrefix="1" applyBorder="1" applyAlignment="1">
      <alignment horizontal="center"/>
    </xf>
    <xf numFmtId="0" fontId="0" fillId="0" borderId="12" xfId="0" quotePrefix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3" fontId="0" fillId="0" borderId="13" xfId="0" applyNumberFormat="1" applyBorder="1"/>
    <xf numFmtId="0" fontId="0" fillId="0" borderId="14" xfId="0" applyBorder="1"/>
    <xf numFmtId="0" fontId="8" fillId="0" borderId="15" xfId="0" applyFont="1" applyFill="1" applyBorder="1" applyAlignment="1">
      <alignment horizontal="center"/>
    </xf>
    <xf numFmtId="0" fontId="6" fillId="0" borderId="16" xfId="0" applyFont="1" applyFill="1" applyBorder="1"/>
    <xf numFmtId="0" fontId="0" fillId="0" borderId="17" xfId="0" quotePrefix="1" applyBorder="1" applyAlignment="1">
      <alignment horizontal="center"/>
    </xf>
    <xf numFmtId="0" fontId="0" fillId="0" borderId="18" xfId="0" quotePrefix="1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3" fontId="0" fillId="0" borderId="16" xfId="0" applyNumberFormat="1" applyBorder="1"/>
    <xf numFmtId="3" fontId="0" fillId="0" borderId="20" xfId="0" applyNumberFormat="1" applyBorder="1"/>
    <xf numFmtId="10" fontId="9" fillId="0" borderId="20" xfId="3" applyNumberFormat="1" applyFont="1" applyBorder="1" applyAlignment="1">
      <alignment horizontal="center"/>
    </xf>
    <xf numFmtId="0" fontId="0" fillId="0" borderId="21" xfId="0" applyBorder="1"/>
    <xf numFmtId="3" fontId="0" fillId="0" borderId="0" xfId="0" applyNumberFormat="1"/>
    <xf numFmtId="0" fontId="6" fillId="0" borderId="22" xfId="0" quotePrefix="1" applyFont="1" applyFill="1" applyBorder="1" applyAlignment="1">
      <alignment horizontal="right"/>
    </xf>
    <xf numFmtId="0" fontId="0" fillId="0" borderId="19" xfId="0" quotePrefix="1" applyBorder="1" applyAlignment="1">
      <alignment horizontal="center"/>
    </xf>
    <xf numFmtId="0" fontId="0" fillId="0" borderId="23" xfId="0" quotePrefix="1" applyBorder="1"/>
    <xf numFmtId="2" fontId="0" fillId="0" borderId="20" xfId="0" applyNumberFormat="1" applyBorder="1" applyAlignment="1">
      <alignment horizontal="center"/>
    </xf>
    <xf numFmtId="40" fontId="0" fillId="0" borderId="20" xfId="0" applyNumberFormat="1" applyBorder="1" applyAlignment="1">
      <alignment horizontal="center"/>
    </xf>
    <xf numFmtId="10" fontId="6" fillId="0" borderId="20" xfId="3" applyNumberFormat="1" applyFont="1" applyBorder="1" applyAlignment="1">
      <alignment horizontal="center"/>
    </xf>
    <xf numFmtId="10" fontId="9" fillId="0" borderId="24" xfId="3" applyNumberFormat="1" applyFont="1" applyBorder="1" applyAlignment="1">
      <alignment horizontal="center"/>
    </xf>
    <xf numFmtId="0" fontId="0" fillId="0" borderId="25" xfId="0" applyFont="1" applyFill="1" applyBorder="1" applyAlignment="1">
      <alignment horizontal="center" vertical="top"/>
    </xf>
    <xf numFmtId="0" fontId="0" fillId="0" borderId="26" xfId="0" applyFill="1" applyBorder="1" applyAlignment="1">
      <alignment horizontal="left" vertical="top"/>
    </xf>
    <xf numFmtId="0" fontId="0" fillId="0" borderId="27" xfId="0" quotePrefix="1" applyBorder="1" applyAlignment="1">
      <alignment horizontal="center"/>
    </xf>
    <xf numFmtId="0" fontId="0" fillId="0" borderId="28" xfId="0" quotePrefix="1" applyBorder="1"/>
    <xf numFmtId="0" fontId="10" fillId="0" borderId="29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40" fontId="0" fillId="0" borderId="30" xfId="0" applyNumberFormat="1" applyBorder="1" applyAlignment="1">
      <alignment horizontal="center"/>
    </xf>
    <xf numFmtId="41" fontId="10" fillId="0" borderId="31" xfId="2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16" xfId="0" applyFill="1" applyBorder="1"/>
    <xf numFmtId="0" fontId="10" fillId="0" borderId="20" xfId="0" applyFont="1" applyFill="1" applyBorder="1" applyAlignment="1">
      <alignment horizontal="center"/>
    </xf>
    <xf numFmtId="164" fontId="10" fillId="0" borderId="30" xfId="1" applyNumberFormat="1" applyFont="1" applyFill="1" applyBorder="1" applyAlignment="1"/>
    <xf numFmtId="3" fontId="0" fillId="0" borderId="30" xfId="0" applyNumberFormat="1" applyBorder="1"/>
    <xf numFmtId="0" fontId="11" fillId="0" borderId="32" xfId="0" applyFont="1" applyFill="1" applyBorder="1" applyAlignment="1">
      <alignment horizontal="center"/>
    </xf>
    <xf numFmtId="0" fontId="11" fillId="0" borderId="16" xfId="0" applyFont="1" applyFill="1" applyBorder="1"/>
    <xf numFmtId="0" fontId="10" fillId="0" borderId="23" xfId="0" applyFont="1" applyFill="1" applyBorder="1" applyAlignment="1">
      <alignment horizontal="center"/>
    </xf>
    <xf numFmtId="164" fontId="10" fillId="0" borderId="16" xfId="1" applyNumberFormat="1" applyFont="1" applyFill="1" applyBorder="1"/>
    <xf numFmtId="0" fontId="0" fillId="0" borderId="32" xfId="0" applyFill="1" applyBorder="1" applyAlignment="1">
      <alignment horizontal="center"/>
    </xf>
    <xf numFmtId="164" fontId="10" fillId="0" borderId="33" xfId="1" applyNumberFormat="1" applyFont="1" applyFill="1" applyBorder="1"/>
    <xf numFmtId="0" fontId="0" fillId="0" borderId="34" xfId="0" applyFill="1" applyBorder="1" applyAlignment="1">
      <alignment horizontal="center"/>
    </xf>
    <xf numFmtId="0" fontId="0" fillId="0" borderId="33" xfId="0" applyFill="1" applyBorder="1"/>
    <xf numFmtId="0" fontId="10" fillId="0" borderId="30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3" fontId="0" fillId="0" borderId="35" xfId="0" applyNumberFormat="1" applyBorder="1"/>
    <xf numFmtId="0" fontId="0" fillId="0" borderId="36" xfId="0" applyFill="1" applyBorder="1" applyAlignment="1">
      <alignment horizontal="center"/>
    </xf>
    <xf numFmtId="0" fontId="0" fillId="0" borderId="37" xfId="0" applyFill="1" applyBorder="1"/>
    <xf numFmtId="0" fontId="0" fillId="0" borderId="37" xfId="0" quotePrefix="1" applyBorder="1" applyAlignment="1">
      <alignment horizontal="center"/>
    </xf>
    <xf numFmtId="0" fontId="0" fillId="0" borderId="37" xfId="0" quotePrefix="1" applyBorder="1"/>
    <xf numFmtId="0" fontId="10" fillId="0" borderId="37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/>
    <xf numFmtId="3" fontId="0" fillId="0" borderId="37" xfId="0" applyNumberFormat="1" applyBorder="1" applyAlignment="1">
      <alignment horizontal="right"/>
    </xf>
    <xf numFmtId="3" fontId="0" fillId="0" borderId="38" xfId="0" applyNumberFormat="1" applyBorder="1"/>
    <xf numFmtId="3" fontId="0" fillId="0" borderId="39" xfId="0" applyNumberFormat="1" applyBorder="1"/>
    <xf numFmtId="0" fontId="0" fillId="0" borderId="40" xfId="0" applyBorder="1"/>
    <xf numFmtId="0" fontId="0" fillId="0" borderId="41" xfId="0" quotePrefix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7" xfId="0" quotePrefix="1" applyBorder="1"/>
    <xf numFmtId="0" fontId="0" fillId="0" borderId="17" xfId="0" applyBorder="1"/>
    <xf numFmtId="3" fontId="0" fillId="0" borderId="17" xfId="0" applyNumberFormat="1" applyBorder="1" applyAlignment="1">
      <alignment horizontal="right"/>
    </xf>
    <xf numFmtId="3" fontId="0" fillId="0" borderId="42" xfId="0" applyNumberFormat="1" applyBorder="1"/>
    <xf numFmtId="0" fontId="0" fillId="0" borderId="24" xfId="0" quotePrefix="1" applyBorder="1"/>
    <xf numFmtId="0" fontId="0" fillId="0" borderId="0" xfId="0" applyNumberFormat="1"/>
    <xf numFmtId="0" fontId="0" fillId="0" borderId="43" xfId="0" quotePrefix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quotePrefix="1" applyBorder="1"/>
    <xf numFmtId="0" fontId="0" fillId="0" borderId="19" xfId="0" applyBorder="1"/>
    <xf numFmtId="3" fontId="0" fillId="0" borderId="19" xfId="0" applyNumberFormat="1" applyBorder="1" applyAlignment="1">
      <alignment horizontal="right"/>
    </xf>
    <xf numFmtId="3" fontId="0" fillId="0" borderId="18" xfId="0" applyNumberFormat="1" applyBorder="1"/>
    <xf numFmtId="0" fontId="0" fillId="0" borderId="24" xfId="0" applyBorder="1"/>
    <xf numFmtId="0" fontId="0" fillId="0" borderId="43" xfId="0" applyBorder="1" applyAlignment="1">
      <alignment horizontal="center"/>
    </xf>
    <xf numFmtId="0" fontId="9" fillId="0" borderId="19" xfId="0" applyFont="1" applyBorder="1" applyAlignment="1">
      <alignment horizontal="left"/>
    </xf>
    <xf numFmtId="3" fontId="9" fillId="0" borderId="19" xfId="0" applyNumberFormat="1" applyFont="1" applyFill="1" applyBorder="1"/>
    <xf numFmtId="3" fontId="8" fillId="0" borderId="18" xfId="0" applyNumberFormat="1" applyFont="1" applyBorder="1"/>
    <xf numFmtId="0" fontId="0" fillId="0" borderId="44" xfId="0" quotePrefix="1" applyBorder="1" applyAlignment="1">
      <alignment horizontal="center"/>
    </xf>
    <xf numFmtId="0" fontId="0" fillId="0" borderId="27" xfId="0" applyBorder="1" applyAlignment="1">
      <alignment horizontal="left"/>
    </xf>
    <xf numFmtId="3" fontId="5" fillId="0" borderId="27" xfId="0" applyNumberFormat="1" applyFont="1" applyFill="1" applyBorder="1"/>
    <xf numFmtId="0" fontId="0" fillId="0" borderId="27" xfId="0" applyBorder="1"/>
    <xf numFmtId="0" fontId="0" fillId="0" borderId="27" xfId="0" applyBorder="1" applyAlignment="1">
      <alignment horizontal="center"/>
    </xf>
    <xf numFmtId="3" fontId="0" fillId="0" borderId="27" xfId="0" applyNumberFormat="1" applyBorder="1" applyAlignment="1">
      <alignment horizontal="right"/>
    </xf>
    <xf numFmtId="0" fontId="0" fillId="0" borderId="45" xfId="0" applyBorder="1"/>
    <xf numFmtId="3" fontId="9" fillId="0" borderId="27" xfId="0" applyNumberFormat="1" applyFont="1" applyBorder="1" applyAlignment="1">
      <alignment horizontal="right"/>
    </xf>
    <xf numFmtId="3" fontId="9" fillId="0" borderId="18" xfId="0" applyNumberFormat="1" applyFont="1" applyBorder="1"/>
    <xf numFmtId="0" fontId="0" fillId="0" borderId="46" xfId="0" quotePrefix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7" xfId="0" quotePrefix="1" applyBorder="1" applyAlignment="1">
      <alignment horizontal="center"/>
    </xf>
    <xf numFmtId="0" fontId="0" fillId="0" borderId="47" xfId="0" quotePrefix="1" applyBorder="1"/>
    <xf numFmtId="0" fontId="0" fillId="0" borderId="47" xfId="0" applyBorder="1" applyAlignment="1">
      <alignment horizontal="center"/>
    </xf>
    <xf numFmtId="0" fontId="0" fillId="0" borderId="47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0" borderId="49" xfId="0" applyNumberFormat="1" applyBorder="1"/>
    <xf numFmtId="0" fontId="0" fillId="0" borderId="50" xfId="0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Continuous" vertical="center"/>
    </xf>
    <xf numFmtId="0" fontId="0" fillId="0" borderId="0" xfId="0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SIK%20GA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pm6%20ga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</sheetNames>
    <sheetDataSet>
      <sheetData sheetId="0">
        <row r="3">
          <cell r="C3" t="str">
            <v>: CITRA LAND BLOK GA 7 NO.43</v>
          </cell>
        </row>
        <row r="4">
          <cell r="C4" t="str">
            <v>: BP. WANSING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M6"/>
      <sheetName val="OPM7"/>
      <sheetName val="OPM8"/>
      <sheetName val="OPM9"/>
      <sheetName val="OPM10"/>
      <sheetName val="OPM11"/>
      <sheetName val="OPM12"/>
      <sheetName val="OPM13"/>
      <sheetName val="OPM14"/>
      <sheetName val="OPM15"/>
      <sheetName val="OPM16"/>
      <sheetName val="OPM17"/>
      <sheetName val="OPM18"/>
      <sheetName val="OPM19"/>
      <sheetName val="OPM20"/>
      <sheetName val="OPM21"/>
      <sheetName val="OPM22"/>
      <sheetName val="OPM23"/>
      <sheetName val="OPM24"/>
      <sheetName val="OPM25"/>
      <sheetName val="OPM26"/>
      <sheetName val="OPM27 (2)"/>
      <sheetName val="OPM28"/>
      <sheetName val="OPM29"/>
      <sheetName val="OPM30"/>
      <sheetName val="OPM31"/>
      <sheetName val="OPM32"/>
      <sheetName val="OPM33"/>
      <sheetName val="OPM34"/>
    </sheetNames>
    <sheetDataSet>
      <sheetData sheetId="0">
        <row r="16">
          <cell r="K16">
            <v>1325000</v>
          </cell>
        </row>
        <row r="17">
          <cell r="K17">
            <v>6000000</v>
          </cell>
        </row>
        <row r="19">
          <cell r="K19">
            <v>1416000</v>
          </cell>
        </row>
        <row r="28">
          <cell r="K28">
            <v>14357700</v>
          </cell>
        </row>
      </sheetData>
      <sheetData sheetId="1">
        <row r="16">
          <cell r="K16">
            <v>3000000</v>
          </cell>
        </row>
        <row r="17">
          <cell r="K17">
            <v>6119999.9999999991</v>
          </cell>
        </row>
        <row r="18">
          <cell r="K18">
            <v>2039999.9999999998</v>
          </cell>
        </row>
        <row r="32">
          <cell r="K32">
            <v>15755850</v>
          </cell>
        </row>
      </sheetData>
      <sheetData sheetId="2">
        <row r="36">
          <cell r="K36">
            <v>22244400</v>
          </cell>
        </row>
      </sheetData>
      <sheetData sheetId="3">
        <row r="38">
          <cell r="K38">
            <v>15016500</v>
          </cell>
        </row>
      </sheetData>
      <sheetData sheetId="4">
        <row r="18">
          <cell r="K18">
            <v>5250000</v>
          </cell>
        </row>
        <row r="21">
          <cell r="K21">
            <v>6960000</v>
          </cell>
        </row>
        <row r="26">
          <cell r="K26">
            <v>7080000</v>
          </cell>
        </row>
        <row r="27">
          <cell r="K27">
            <v>5250000</v>
          </cell>
        </row>
        <row r="28">
          <cell r="K28">
            <v>1312500</v>
          </cell>
        </row>
        <row r="29">
          <cell r="K29">
            <v>1312500</v>
          </cell>
        </row>
        <row r="30">
          <cell r="K30">
            <v>1995000</v>
          </cell>
        </row>
        <row r="31">
          <cell r="K31">
            <v>342000</v>
          </cell>
        </row>
        <row r="32">
          <cell r="K32">
            <v>700000</v>
          </cell>
        </row>
        <row r="33">
          <cell r="K33">
            <v>1750000</v>
          </cell>
        </row>
        <row r="50">
          <cell r="K50">
            <v>41224500</v>
          </cell>
        </row>
      </sheetData>
      <sheetData sheetId="5">
        <row r="21">
          <cell r="K21">
            <v>300000</v>
          </cell>
        </row>
        <row r="28">
          <cell r="K28">
            <v>10480000</v>
          </cell>
        </row>
        <row r="29">
          <cell r="K29">
            <v>18130000</v>
          </cell>
        </row>
        <row r="38">
          <cell r="K38">
            <v>43510950</v>
          </cell>
        </row>
      </sheetData>
      <sheetData sheetId="6">
        <row r="16">
          <cell r="K16">
            <v>30240000</v>
          </cell>
        </row>
        <row r="17">
          <cell r="K17">
            <v>4320000</v>
          </cell>
        </row>
        <row r="20">
          <cell r="K20">
            <v>17990000</v>
          </cell>
        </row>
        <row r="21">
          <cell r="K21">
            <v>6425000</v>
          </cell>
        </row>
        <row r="24">
          <cell r="K24">
            <v>4050000</v>
          </cell>
        </row>
        <row r="27">
          <cell r="K27">
            <v>26130000</v>
          </cell>
        </row>
        <row r="28">
          <cell r="K28">
            <v>22672000</v>
          </cell>
        </row>
        <row r="29">
          <cell r="K29">
            <v>12784000</v>
          </cell>
        </row>
        <row r="37">
          <cell r="K37">
            <v>45108360</v>
          </cell>
        </row>
      </sheetData>
      <sheetData sheetId="7">
        <row r="18">
          <cell r="K18">
            <v>5500000</v>
          </cell>
        </row>
        <row r="26">
          <cell r="K26">
            <v>26941999.999999996</v>
          </cell>
        </row>
        <row r="27">
          <cell r="K27">
            <v>24596000</v>
          </cell>
        </row>
        <row r="34">
          <cell r="K34">
            <v>44059860</v>
          </cell>
        </row>
      </sheetData>
      <sheetData sheetId="8">
        <row r="24">
          <cell r="K24">
            <v>23240000</v>
          </cell>
        </row>
        <row r="25">
          <cell r="K25">
            <v>7329000</v>
          </cell>
        </row>
        <row r="26">
          <cell r="K26">
            <v>18916000</v>
          </cell>
        </row>
        <row r="33">
          <cell r="K33">
            <v>39429180</v>
          </cell>
        </row>
      </sheetData>
      <sheetData sheetId="9">
        <row r="22">
          <cell r="K22">
            <v>3600000</v>
          </cell>
        </row>
        <row r="23">
          <cell r="K23">
            <v>4900000</v>
          </cell>
        </row>
        <row r="25">
          <cell r="K25">
            <v>4025000</v>
          </cell>
        </row>
        <row r="33">
          <cell r="K33">
            <v>560000</v>
          </cell>
        </row>
        <row r="34">
          <cell r="K34">
            <v>320000</v>
          </cell>
        </row>
        <row r="40">
          <cell r="K40">
            <v>40721793.75</v>
          </cell>
        </row>
      </sheetData>
      <sheetData sheetId="10">
        <row r="29">
          <cell r="K29">
            <v>20351250</v>
          </cell>
        </row>
        <row r="30">
          <cell r="K30">
            <v>4644000</v>
          </cell>
        </row>
        <row r="31">
          <cell r="K31">
            <v>13280000</v>
          </cell>
        </row>
        <row r="32">
          <cell r="K32">
            <v>4180000</v>
          </cell>
        </row>
        <row r="35">
          <cell r="K35">
            <v>9040000</v>
          </cell>
        </row>
        <row r="44">
          <cell r="K44">
            <v>41896874.25</v>
          </cell>
        </row>
      </sheetData>
      <sheetData sheetId="11">
        <row r="20">
          <cell r="K20">
            <v>2170000</v>
          </cell>
        </row>
        <row r="21">
          <cell r="K21">
            <v>4375000</v>
          </cell>
        </row>
        <row r="22">
          <cell r="K22">
            <v>600000</v>
          </cell>
        </row>
        <row r="23">
          <cell r="K23">
            <v>2000000</v>
          </cell>
        </row>
        <row r="36">
          <cell r="K36">
            <v>40508424</v>
          </cell>
        </row>
      </sheetData>
      <sheetData sheetId="12">
        <row r="22">
          <cell r="K22">
            <v>3900000</v>
          </cell>
        </row>
        <row r="23">
          <cell r="K23">
            <v>2467500</v>
          </cell>
        </row>
        <row r="24">
          <cell r="K24">
            <v>3060000</v>
          </cell>
        </row>
        <row r="27">
          <cell r="K27">
            <v>8640000</v>
          </cell>
        </row>
        <row r="30">
          <cell r="K30">
            <v>35924000</v>
          </cell>
        </row>
        <row r="31">
          <cell r="K31">
            <v>53736900</v>
          </cell>
        </row>
        <row r="38">
          <cell r="K38">
            <v>40469193</v>
          </cell>
        </row>
      </sheetData>
      <sheetData sheetId="13">
        <row r="17">
          <cell r="K17">
            <v>4265100</v>
          </cell>
        </row>
        <row r="18">
          <cell r="K18">
            <v>1250000</v>
          </cell>
        </row>
        <row r="19">
          <cell r="K19">
            <v>4400000</v>
          </cell>
        </row>
        <row r="20">
          <cell r="K20">
            <v>3625000</v>
          </cell>
        </row>
        <row r="21">
          <cell r="K21">
            <v>1350000</v>
          </cell>
        </row>
        <row r="22">
          <cell r="K22">
            <v>2062500</v>
          </cell>
        </row>
        <row r="29">
          <cell r="K29">
            <v>1645000</v>
          </cell>
        </row>
        <row r="30">
          <cell r="K30">
            <v>4305000</v>
          </cell>
        </row>
        <row r="31">
          <cell r="K31">
            <v>2304750</v>
          </cell>
        </row>
        <row r="32">
          <cell r="K32">
            <v>3667500</v>
          </cell>
        </row>
        <row r="33">
          <cell r="K33">
            <v>1660000</v>
          </cell>
        </row>
        <row r="39">
          <cell r="K39">
            <v>33009048</v>
          </cell>
        </row>
      </sheetData>
      <sheetData sheetId="14">
        <row r="23">
          <cell r="K23">
            <v>18000000</v>
          </cell>
        </row>
        <row r="33">
          <cell r="K33">
            <v>29402100</v>
          </cell>
        </row>
      </sheetData>
      <sheetData sheetId="15">
        <row r="21">
          <cell r="K21">
            <v>19384000</v>
          </cell>
        </row>
        <row r="23">
          <cell r="K23">
            <v>9405000</v>
          </cell>
        </row>
        <row r="24">
          <cell r="K24">
            <v>9692000</v>
          </cell>
        </row>
        <row r="33">
          <cell r="K33">
            <v>33280344</v>
          </cell>
        </row>
      </sheetData>
      <sheetData sheetId="16">
        <row r="21">
          <cell r="K21">
            <v>20472900</v>
          </cell>
        </row>
        <row r="22">
          <cell r="K22">
            <v>4355000</v>
          </cell>
        </row>
        <row r="23">
          <cell r="K23">
            <v>6780000</v>
          </cell>
        </row>
        <row r="25">
          <cell r="K25">
            <v>2475000</v>
          </cell>
        </row>
        <row r="26">
          <cell r="K26">
            <v>2750000</v>
          </cell>
        </row>
        <row r="29">
          <cell r="K29">
            <v>9900000</v>
          </cell>
        </row>
        <row r="37">
          <cell r="K37">
            <v>38679003</v>
          </cell>
        </row>
      </sheetData>
      <sheetData sheetId="17">
        <row r="32">
          <cell r="K32">
            <v>35883504</v>
          </cell>
        </row>
      </sheetData>
      <sheetData sheetId="18">
        <row r="23">
          <cell r="K23">
            <v>17962000</v>
          </cell>
        </row>
        <row r="34">
          <cell r="K34">
            <v>38032794</v>
          </cell>
        </row>
      </sheetData>
      <sheetData sheetId="19">
        <row r="20">
          <cell r="K20">
            <v>2200000</v>
          </cell>
        </row>
        <row r="21">
          <cell r="K21">
            <v>750000</v>
          </cell>
        </row>
        <row r="26">
          <cell r="K26">
            <v>4702500</v>
          </cell>
        </row>
        <row r="27">
          <cell r="K27">
            <v>2394000</v>
          </cell>
        </row>
        <row r="28">
          <cell r="K28">
            <v>3240000</v>
          </cell>
        </row>
        <row r="29">
          <cell r="K29">
            <v>690000</v>
          </cell>
        </row>
        <row r="31">
          <cell r="K31">
            <v>1100000</v>
          </cell>
        </row>
        <row r="32">
          <cell r="K32">
            <v>1600000</v>
          </cell>
        </row>
        <row r="33">
          <cell r="K33">
            <v>2700000</v>
          </cell>
        </row>
        <row r="34">
          <cell r="K34">
            <v>640000</v>
          </cell>
        </row>
        <row r="46">
          <cell r="K46">
            <v>39079044</v>
          </cell>
        </row>
      </sheetData>
      <sheetData sheetId="20">
        <row r="28">
          <cell r="K28">
            <v>34912000</v>
          </cell>
        </row>
        <row r="29">
          <cell r="K29">
            <v>49788200</v>
          </cell>
        </row>
        <row r="30">
          <cell r="K30">
            <v>16160000</v>
          </cell>
        </row>
        <row r="31">
          <cell r="K31">
            <v>5850000</v>
          </cell>
        </row>
        <row r="37">
          <cell r="K37">
            <v>32012568</v>
          </cell>
        </row>
      </sheetData>
      <sheetData sheetId="21">
        <row r="31">
          <cell r="K31">
            <v>2380000</v>
          </cell>
        </row>
        <row r="32">
          <cell r="K32">
            <v>1420000</v>
          </cell>
        </row>
        <row r="33">
          <cell r="K33">
            <v>1372500</v>
          </cell>
        </row>
        <row r="34">
          <cell r="K34">
            <v>1360000</v>
          </cell>
        </row>
        <row r="40">
          <cell r="K40">
            <v>30062700</v>
          </cell>
        </row>
      </sheetData>
      <sheetData sheetId="22">
        <row r="20">
          <cell r="K20">
            <v>12960000</v>
          </cell>
        </row>
        <row r="21">
          <cell r="K21">
            <v>658000</v>
          </cell>
        </row>
        <row r="22">
          <cell r="K22">
            <v>16965000</v>
          </cell>
        </row>
        <row r="33">
          <cell r="K33">
            <v>1350000</v>
          </cell>
        </row>
        <row r="43">
          <cell r="K43">
            <v>34273620</v>
          </cell>
        </row>
      </sheetData>
      <sheetData sheetId="23">
        <row r="27">
          <cell r="K27">
            <v>18176000</v>
          </cell>
        </row>
        <row r="28">
          <cell r="K28">
            <v>19976000</v>
          </cell>
        </row>
        <row r="30">
          <cell r="K30">
            <v>5940000</v>
          </cell>
        </row>
        <row r="34">
          <cell r="K34">
            <v>1925000</v>
          </cell>
        </row>
        <row r="35">
          <cell r="K35">
            <v>2100000</v>
          </cell>
        </row>
        <row r="43">
          <cell r="K43">
            <v>33283080</v>
          </cell>
        </row>
      </sheetData>
      <sheetData sheetId="24">
        <row r="29">
          <cell r="K29">
            <v>17456000</v>
          </cell>
        </row>
        <row r="44">
          <cell r="K44">
            <v>35704346.49000001</v>
          </cell>
        </row>
      </sheetData>
      <sheetData sheetId="25">
        <row r="25">
          <cell r="K25">
            <v>3000000</v>
          </cell>
        </row>
        <row r="33">
          <cell r="K33">
            <v>3900000</v>
          </cell>
        </row>
        <row r="45">
          <cell r="K45">
            <v>32519196</v>
          </cell>
        </row>
      </sheetData>
      <sheetData sheetId="26">
        <row r="33">
          <cell r="K33">
            <v>1800000</v>
          </cell>
        </row>
        <row r="34">
          <cell r="K34">
            <v>1600000</v>
          </cell>
        </row>
        <row r="46">
          <cell r="K46">
            <v>30806910</v>
          </cell>
        </row>
      </sheetData>
      <sheetData sheetId="27">
        <row r="30">
          <cell r="K30">
            <v>9088000</v>
          </cell>
        </row>
        <row r="32">
          <cell r="K32">
            <v>9280000</v>
          </cell>
        </row>
        <row r="35">
          <cell r="K35">
            <v>9000000</v>
          </cell>
        </row>
        <row r="44">
          <cell r="K44">
            <v>32202134.999999881</v>
          </cell>
        </row>
      </sheetData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topLeftCell="A31" zoomScale="90" workbookViewId="0">
      <selection activeCell="K44" sqref="K44"/>
    </sheetView>
  </sheetViews>
  <sheetFormatPr defaultRowHeight="15"/>
  <cols>
    <col min="1" max="1" width="4" customWidth="1"/>
    <col min="2" max="2" width="4.42578125" style="1" customWidth="1"/>
    <col min="3" max="3" width="18" style="2" customWidth="1"/>
    <col min="4" max="4" width="31.7109375" style="2" customWidth="1"/>
    <col min="5" max="5" width="9.7109375" style="2" customWidth="1"/>
    <col min="6" max="6" width="5.5703125" style="2" customWidth="1"/>
    <col min="7" max="7" width="9.28515625" customWidth="1"/>
    <col min="8" max="8" width="9.7109375" style="2" customWidth="1"/>
    <col min="9" max="9" width="12.28515625" style="2" customWidth="1"/>
    <col min="10" max="10" width="10.7109375" style="3" customWidth="1"/>
    <col min="11" max="11" width="14.5703125" style="3" customWidth="1"/>
    <col min="12" max="12" width="9.5703125" customWidth="1"/>
    <col min="13" max="13" width="10.140625" customWidth="1"/>
    <col min="14" max="14" width="1" customWidth="1"/>
    <col min="15" max="15" width="13.140625" customWidth="1"/>
    <col min="16" max="16" width="14.5703125" customWidth="1"/>
    <col min="17" max="17" width="10" customWidth="1"/>
  </cols>
  <sheetData>
    <row r="1" spans="1:16" ht="9" customHeight="1"/>
    <row r="2" spans="1:16" ht="27">
      <c r="A2" s="4" t="s">
        <v>0</v>
      </c>
      <c r="B2" s="5"/>
      <c r="C2" s="6"/>
      <c r="D2" s="6"/>
    </row>
    <row r="4" spans="1:16" ht="15" customHeight="1">
      <c r="A4" s="7" t="s">
        <v>1</v>
      </c>
      <c r="D4" s="8" t="s">
        <v>2</v>
      </c>
    </row>
    <row r="5" spans="1:16" ht="15" customHeight="1">
      <c r="A5" s="7" t="s">
        <v>3</v>
      </c>
      <c r="D5" s="8" t="str">
        <f>'[1]Sheet1 (2)'!$C$4</f>
        <v>: BP. WANSING</v>
      </c>
    </row>
    <row r="6" spans="1:16" ht="15" customHeight="1">
      <c r="A6" s="7" t="s">
        <v>4</v>
      </c>
      <c r="D6" s="9" t="str">
        <f>'[1]Sheet1 (2)'!$C$3</f>
        <v>: CITRA LAND BLOK GA 7 NO.43</v>
      </c>
      <c r="G6" s="2"/>
    </row>
    <row r="7" spans="1:16">
      <c r="D7"/>
    </row>
    <row r="8" spans="1:16">
      <c r="A8" s="10" t="s">
        <v>5</v>
      </c>
      <c r="I8" s="11" t="s">
        <v>6</v>
      </c>
      <c r="J8" s="11" t="s">
        <v>7</v>
      </c>
      <c r="K8" s="12" t="s">
        <v>8</v>
      </c>
      <c r="L8" s="13" t="s">
        <v>9</v>
      </c>
      <c r="M8" s="14"/>
    </row>
    <row r="9" spans="1:16" ht="8.25" customHeight="1" thickBot="1"/>
    <row r="10" spans="1:16" s="24" customFormat="1" ht="38.25" customHeight="1" thickBot="1">
      <c r="A10" s="15" t="s">
        <v>10</v>
      </c>
      <c r="B10" s="16" t="s">
        <v>11</v>
      </c>
      <c r="C10" s="16"/>
      <c r="D10" s="16"/>
      <c r="E10" s="17" t="s">
        <v>12</v>
      </c>
      <c r="F10" s="18"/>
      <c r="G10" s="19" t="s">
        <v>13</v>
      </c>
      <c r="H10" s="19" t="s">
        <v>14</v>
      </c>
      <c r="I10" s="20" t="s">
        <v>15</v>
      </c>
      <c r="J10" s="21" t="s">
        <v>16</v>
      </c>
      <c r="K10" s="21" t="s">
        <v>17</v>
      </c>
      <c r="L10" s="22" t="s">
        <v>18</v>
      </c>
      <c r="M10" s="23" t="s">
        <v>19</v>
      </c>
    </row>
    <row r="11" spans="1:16" ht="27" customHeight="1" thickTop="1">
      <c r="A11" s="25"/>
      <c r="B11" s="26"/>
      <c r="C11" s="27"/>
      <c r="D11" s="28"/>
      <c r="E11" s="29"/>
      <c r="F11" s="30"/>
      <c r="G11" s="31"/>
      <c r="H11" s="32"/>
      <c r="I11" s="32"/>
      <c r="J11" s="33"/>
      <c r="K11" s="33"/>
      <c r="L11" s="33"/>
      <c r="M11" s="34"/>
    </row>
    <row r="12" spans="1:16" ht="27" customHeight="1">
      <c r="A12" s="35">
        <v>1</v>
      </c>
      <c r="B12" s="36" t="s">
        <v>20</v>
      </c>
      <c r="C12" s="37"/>
      <c r="D12" s="38"/>
      <c r="E12" s="39" t="s">
        <v>21</v>
      </c>
      <c r="F12" s="40"/>
      <c r="G12" s="41" t="str">
        <f>E12</f>
        <v>1 ls</v>
      </c>
      <c r="H12" s="41" t="s">
        <v>21</v>
      </c>
      <c r="I12" s="41" t="s">
        <v>22</v>
      </c>
      <c r="J12" s="42"/>
      <c r="K12" s="43">
        <f>46551000+[2]OPM6!K19+[2]OPM6!K17+[2]OPM6!K16+[2]OPM7!K18+[2]OPM7!K17+[2]OPM7!K16+[2]OPM10!K33+[2]OPM10!K32+[2]OPM10!K31+[2]OPM10!K30+[2]OPM10!K29+[2]OPM10!K28+[2]OPM10!K27+[2]OPM10!K26+[2]OPM10!K21+[2]OPM10!K18+[2]OPM11!K29+[2]OPM11!K28+[2]OPM11!K21+[2]OPM12!K29+[2]OPM12!K28+[2]OPM12!K27+[2]OPM12!K24+[2]OPM12!K21+[2]OPM12!K20+[2]OPM12!K17+[2]OPM12!K16+[2]OPM13!K27+[2]OPM13!K26+[2]OPM13!K18+[2]OPM14!K25+[2]OPM14!K24+[2]OPM14!K26+[2]OPM15!K34+[2]OPM15!K33+[2]OPM15!K25+[2]OPM15!K23+[2]OPM15!K22+[2]OPM16!K29+[2]OPM16!K30+[2]OPM16!K31+[2]OPM16!K32+[2]OPM16!K35+[2]OPM17!K23+[2]OPM17!K22+[2]OPM17!K21+[2]OPM17!K20+[2]OPM18!K31+[2]OPM18!K30+[2]OPM18!K27+[2]OPM18!K24+[2]OPM18!K23+[2]OPM18!K22+[2]OPM19!K33+[2]OPM19!K32+[2]OPM19!K31+[2]OPM19!K30+[2]OPM19!K29+[2]OPM19!K22+[2]OPM19!K21+[2]OPM19!K20+[2]OPM19!K19+[2]OPM19!K18+[2]OPM19!K17+[2]OPM20!K23+[2]OPM21!K24+[2]OPM21!K23+[2]OPM21!K21+[2]OPM22!K29+[2]OPM22!K26+[2]OPM22!K25+[2]OPM22!K23+[2]OPM22!K22+[2]OPM22!K21+[2]OPM24!K23+[2]OPM25!K34+[2]OPM25!K33+[2]OPM25!K32+[2]OPM25!K31+[2]OPM25!K29+[2]OPM25!K28+[2]OPM25!K27+[2]OPM25!K26+[2]OPM25!K21+[2]OPM25!K20+[2]OPM26!K31+[2]OPM26!K30+[2]OPM26!K29+[2]OPM26!K28+'[2]OPM27 (2)'!K31+'[2]OPM27 (2)'!K32+'[2]OPM27 (2)'!K33+'[2]OPM27 (2)'!K34+[2]OPM28!K33+[2]OPM28!K22+[2]OPM28!K21+[2]OPM28!K20+[2]OPM29!K35+[2]OPM29!K34+[2]OPM29!K30+[2]OPM29!K27+[2]OPM29!K28+[2]OPM30!K29+[2]OPM31!K33+[2]OPM31!K25+[2]OPM32!K33+[2]OPM32!K34+[2]OPM33!K35+[2]OPM33!K32+[2]OPM33!K30</f>
        <v>960365600</v>
      </c>
      <c r="L12" s="44">
        <v>1</v>
      </c>
      <c r="M12" s="45"/>
      <c r="P12" s="46"/>
    </row>
    <row r="13" spans="1:16" ht="22.5" customHeight="1">
      <c r="A13" s="47"/>
      <c r="B13" s="36"/>
      <c r="C13" s="48"/>
      <c r="D13" s="49"/>
      <c r="E13" s="39"/>
      <c r="F13" s="40"/>
      <c r="G13" s="50"/>
      <c r="H13" s="50"/>
      <c r="I13" s="51"/>
      <c r="J13" s="42"/>
      <c r="K13" s="43"/>
      <c r="L13" s="52"/>
      <c r="M13" s="53"/>
    </row>
    <row r="14" spans="1:16" ht="22.5" customHeight="1">
      <c r="A14" s="54"/>
      <c r="B14" s="55"/>
      <c r="C14" s="56"/>
      <c r="D14" s="57"/>
      <c r="E14" s="58"/>
      <c r="F14" s="59"/>
      <c r="G14" s="60"/>
      <c r="H14" s="60"/>
      <c r="I14" s="61"/>
      <c r="J14" s="62"/>
      <c r="K14" s="43"/>
      <c r="L14" s="52"/>
      <c r="M14" s="53"/>
      <c r="O14" s="46"/>
    </row>
    <row r="15" spans="1:16" ht="22.5" customHeight="1">
      <c r="A15" s="63"/>
      <c r="B15" s="64"/>
      <c r="C15" s="56"/>
      <c r="D15" s="57"/>
      <c r="E15" s="65"/>
      <c r="F15" s="59"/>
      <c r="G15" s="60"/>
      <c r="H15" s="60"/>
      <c r="I15" s="61"/>
      <c r="J15" s="66"/>
      <c r="K15" s="67"/>
      <c r="L15" s="52"/>
      <c r="M15" s="53"/>
      <c r="O15" s="46"/>
    </row>
    <row r="16" spans="1:16" ht="22.5" customHeight="1">
      <c r="A16" s="68" t="s">
        <v>23</v>
      </c>
      <c r="B16" s="69" t="s">
        <v>24</v>
      </c>
      <c r="C16" s="56"/>
      <c r="D16" s="57"/>
      <c r="E16" s="65"/>
      <c r="F16" s="70"/>
      <c r="G16" s="60"/>
      <c r="H16" s="60"/>
      <c r="I16" s="61"/>
      <c r="J16" s="71"/>
      <c r="K16" s="67"/>
      <c r="L16" s="52"/>
      <c r="M16" s="53"/>
      <c r="O16" s="46"/>
    </row>
    <row r="17" spans="1:15" ht="22.5" customHeight="1">
      <c r="A17" s="72">
        <v>5</v>
      </c>
      <c r="B17" s="64" t="s">
        <v>25</v>
      </c>
      <c r="C17" s="56"/>
      <c r="D17" s="57"/>
      <c r="E17" s="65">
        <v>711</v>
      </c>
      <c r="F17" s="70" t="s">
        <v>26</v>
      </c>
      <c r="G17" s="60">
        <f>E17*0.7</f>
        <v>497.7</v>
      </c>
      <c r="H17" s="60">
        <f>E17*0</f>
        <v>0</v>
      </c>
      <c r="I17" s="61">
        <f t="shared" ref="I17" si="0">E17-(H17+G17)</f>
        <v>213.3</v>
      </c>
      <c r="J17" s="73">
        <v>35000</v>
      </c>
      <c r="K17" s="67">
        <f t="shared" ref="K17" si="1">(G17+H17)*J17</f>
        <v>17419500</v>
      </c>
      <c r="L17" s="52">
        <f t="shared" ref="L17" si="2">(G17+H17)/E17</f>
        <v>0.7</v>
      </c>
      <c r="M17" s="53">
        <f t="shared" ref="M17" si="3">H17/E17</f>
        <v>0</v>
      </c>
      <c r="O17" s="46">
        <f t="shared" ref="O17" si="4">H17*J17</f>
        <v>0</v>
      </c>
    </row>
    <row r="18" spans="1:15" ht="22.5" customHeight="1">
      <c r="A18" s="74"/>
      <c r="B18" s="75"/>
      <c r="C18" s="56"/>
      <c r="D18" s="57"/>
      <c r="E18" s="76"/>
      <c r="F18" s="59"/>
      <c r="G18" s="60"/>
      <c r="H18" s="60"/>
      <c r="I18" s="61"/>
      <c r="J18" s="73"/>
      <c r="K18" s="67"/>
      <c r="L18" s="52"/>
      <c r="M18" s="53"/>
      <c r="O18" s="46"/>
    </row>
    <row r="19" spans="1:15" ht="22.5" customHeight="1">
      <c r="A19" s="68" t="s">
        <v>27</v>
      </c>
      <c r="B19" s="69" t="s">
        <v>28</v>
      </c>
      <c r="C19" s="56"/>
      <c r="D19" s="57"/>
      <c r="E19" s="76"/>
      <c r="F19" s="59"/>
      <c r="G19" s="60"/>
      <c r="H19" s="60"/>
      <c r="I19" s="61"/>
      <c r="J19" s="73"/>
      <c r="K19" s="67"/>
      <c r="L19" s="52"/>
      <c r="M19" s="53"/>
      <c r="O19" s="46"/>
    </row>
    <row r="20" spans="1:15" ht="22.5" customHeight="1">
      <c r="A20" s="72"/>
      <c r="B20" s="64"/>
      <c r="C20" s="56"/>
      <c r="D20" s="57"/>
      <c r="E20" s="76"/>
      <c r="F20" s="59"/>
      <c r="G20" s="60"/>
      <c r="H20" s="60"/>
      <c r="I20" s="61"/>
      <c r="J20" s="73"/>
      <c r="K20" s="67"/>
      <c r="L20" s="52"/>
      <c r="M20" s="53"/>
      <c r="O20" s="46"/>
    </row>
    <row r="21" spans="1:15" ht="22.5" customHeight="1">
      <c r="A21" s="68" t="s">
        <v>29</v>
      </c>
      <c r="B21" s="69" t="s">
        <v>30</v>
      </c>
      <c r="C21" s="56"/>
      <c r="D21" s="57"/>
      <c r="E21" s="76"/>
      <c r="F21" s="59"/>
      <c r="G21" s="60"/>
      <c r="H21" s="60"/>
      <c r="I21" s="61"/>
      <c r="J21" s="73"/>
      <c r="K21" s="67"/>
      <c r="L21" s="52"/>
      <c r="M21" s="53"/>
      <c r="O21" s="46"/>
    </row>
    <row r="22" spans="1:15" ht="22.5" customHeight="1">
      <c r="A22" s="72">
        <v>8</v>
      </c>
      <c r="B22" s="64" t="s">
        <v>31</v>
      </c>
      <c r="C22" s="56"/>
      <c r="D22" s="57"/>
      <c r="E22" s="65">
        <v>280</v>
      </c>
      <c r="F22" s="70" t="s">
        <v>26</v>
      </c>
      <c r="G22" s="60">
        <f>E22*0.7</f>
        <v>196</v>
      </c>
      <c r="H22" s="60">
        <f>E22*0</f>
        <v>0</v>
      </c>
      <c r="I22" s="61">
        <f t="shared" ref="I22:I36" si="5">E22-(H22+G22)</f>
        <v>84</v>
      </c>
      <c r="J22" s="73">
        <v>60000</v>
      </c>
      <c r="K22" s="67">
        <f t="shared" ref="K22:K25" si="6">(G22+H22)*J22</f>
        <v>11760000</v>
      </c>
      <c r="L22" s="52">
        <f t="shared" ref="L22:L25" si="7">(G22+H22)/E22</f>
        <v>0.7</v>
      </c>
      <c r="M22" s="53">
        <f t="shared" ref="M22:M25" si="8">H22/E22</f>
        <v>0</v>
      </c>
      <c r="O22" s="46">
        <f t="shared" ref="O22:O25" si="9">H22*J22</f>
        <v>0</v>
      </c>
    </row>
    <row r="23" spans="1:15" ht="22.5" customHeight="1">
      <c r="A23" s="72">
        <v>9</v>
      </c>
      <c r="B23" s="64" t="s">
        <v>32</v>
      </c>
      <c r="C23" s="56"/>
      <c r="D23" s="57"/>
      <c r="E23" s="65">
        <v>185.5</v>
      </c>
      <c r="F23" s="70" t="s">
        <v>26</v>
      </c>
      <c r="G23" s="60">
        <f>E23*0.6</f>
        <v>111.3</v>
      </c>
      <c r="H23" s="60">
        <f>E23*0</f>
        <v>0</v>
      </c>
      <c r="I23" s="61">
        <f t="shared" si="5"/>
        <v>74.2</v>
      </c>
      <c r="J23" s="73">
        <v>60000</v>
      </c>
      <c r="K23" s="67">
        <f t="shared" si="6"/>
        <v>6678000</v>
      </c>
      <c r="L23" s="52">
        <f t="shared" si="7"/>
        <v>0.6</v>
      </c>
      <c r="M23" s="53">
        <f t="shared" si="8"/>
        <v>0</v>
      </c>
      <c r="O23" s="46">
        <f t="shared" si="9"/>
        <v>0</v>
      </c>
    </row>
    <row r="24" spans="1:15" ht="22.5" customHeight="1">
      <c r="A24" s="72">
        <v>19</v>
      </c>
      <c r="B24" s="64" t="s">
        <v>33</v>
      </c>
      <c r="C24" s="56"/>
      <c r="D24" s="57"/>
      <c r="E24" s="65">
        <v>841</v>
      </c>
      <c r="F24" s="70" t="s">
        <v>34</v>
      </c>
      <c r="G24" s="60">
        <f>E24*0.65</f>
        <v>546.65</v>
      </c>
      <c r="H24" s="60">
        <f>E24*0.1</f>
        <v>84.100000000000009</v>
      </c>
      <c r="I24" s="61">
        <f t="shared" si="5"/>
        <v>210.25</v>
      </c>
      <c r="J24" s="73">
        <v>45000</v>
      </c>
      <c r="K24" s="67">
        <f t="shared" si="6"/>
        <v>28383750</v>
      </c>
      <c r="L24" s="52">
        <f t="shared" si="7"/>
        <v>0.75</v>
      </c>
      <c r="M24" s="53">
        <f t="shared" si="8"/>
        <v>0.1</v>
      </c>
      <c r="O24" s="46">
        <f t="shared" si="9"/>
        <v>3784500.0000000005</v>
      </c>
    </row>
    <row r="25" spans="1:15" ht="22.5" customHeight="1">
      <c r="A25" s="72">
        <v>20</v>
      </c>
      <c r="B25" s="64" t="s">
        <v>35</v>
      </c>
      <c r="C25" s="56"/>
      <c r="D25" s="57"/>
      <c r="E25" s="76">
        <v>225</v>
      </c>
      <c r="F25" s="70" t="s">
        <v>26</v>
      </c>
      <c r="G25" s="60">
        <f>E25*0.55</f>
        <v>123.75000000000001</v>
      </c>
      <c r="H25" s="60">
        <f>E25*0</f>
        <v>0</v>
      </c>
      <c r="I25" s="61">
        <f t="shared" si="5"/>
        <v>101.24999999999999</v>
      </c>
      <c r="J25" s="73">
        <v>20000</v>
      </c>
      <c r="K25" s="67">
        <f t="shared" si="6"/>
        <v>2475000.0000000005</v>
      </c>
      <c r="L25" s="52">
        <f t="shared" si="7"/>
        <v>0.55000000000000004</v>
      </c>
      <c r="M25" s="53">
        <f t="shared" si="8"/>
        <v>0</v>
      </c>
      <c r="O25" s="46">
        <f t="shared" si="9"/>
        <v>0</v>
      </c>
    </row>
    <row r="26" spans="1:15" ht="22.5" customHeight="1">
      <c r="A26" s="72"/>
      <c r="B26" s="64"/>
      <c r="C26" s="56"/>
      <c r="D26" s="57"/>
      <c r="E26" s="76"/>
      <c r="F26" s="59"/>
      <c r="G26" s="60"/>
      <c r="H26" s="60"/>
      <c r="I26" s="61"/>
      <c r="J26" s="73"/>
      <c r="K26" s="67"/>
      <c r="L26" s="52"/>
      <c r="M26" s="53"/>
      <c r="O26" s="46"/>
    </row>
    <row r="27" spans="1:15" ht="22.5" customHeight="1">
      <c r="A27" s="68" t="s">
        <v>36</v>
      </c>
      <c r="B27" s="69" t="s">
        <v>37</v>
      </c>
      <c r="C27" s="56"/>
      <c r="D27" s="57"/>
      <c r="E27" s="76"/>
      <c r="F27" s="59"/>
      <c r="G27" s="60"/>
      <c r="H27" s="60"/>
      <c r="I27" s="61"/>
      <c r="J27" s="73"/>
      <c r="K27" s="67"/>
      <c r="L27" s="52"/>
      <c r="M27" s="53"/>
      <c r="O27" s="46"/>
    </row>
    <row r="28" spans="1:15" ht="22.5" customHeight="1">
      <c r="A28" s="72">
        <v>7</v>
      </c>
      <c r="B28" s="64" t="s">
        <v>31</v>
      </c>
      <c r="C28" s="56"/>
      <c r="D28" s="57"/>
      <c r="E28" s="65">
        <v>288</v>
      </c>
      <c r="F28" s="70" t="s">
        <v>26</v>
      </c>
      <c r="G28" s="60">
        <f>E28*0.3</f>
        <v>86.399999999999991</v>
      </c>
      <c r="H28" s="60">
        <f>E28*0</f>
        <v>0</v>
      </c>
      <c r="I28" s="61">
        <f t="shared" si="5"/>
        <v>201.60000000000002</v>
      </c>
      <c r="J28" s="71">
        <v>60000</v>
      </c>
      <c r="K28" s="67">
        <f t="shared" ref="K28:K30" si="10">(G28+H28)*J28</f>
        <v>5183999.9999999991</v>
      </c>
      <c r="L28" s="52">
        <f t="shared" ref="L28:L30" si="11">(G28+H28)/E28</f>
        <v>0.3</v>
      </c>
      <c r="M28" s="53">
        <f t="shared" ref="M28:M30" si="12">H28/E28</f>
        <v>0</v>
      </c>
      <c r="O28" s="46">
        <f t="shared" ref="O28:O30" si="13">H28*J28</f>
        <v>0</v>
      </c>
    </row>
    <row r="29" spans="1:15" ht="22.5" customHeight="1">
      <c r="A29" s="72">
        <v>8</v>
      </c>
      <c r="B29" s="64" t="s">
        <v>38</v>
      </c>
      <c r="C29" s="56"/>
      <c r="D29" s="57"/>
      <c r="E29" s="65">
        <v>187</v>
      </c>
      <c r="F29" s="70" t="s">
        <v>26</v>
      </c>
      <c r="G29" s="60">
        <f>E29*0.3</f>
        <v>56.1</v>
      </c>
      <c r="H29" s="60">
        <f>E29*0</f>
        <v>0</v>
      </c>
      <c r="I29" s="61">
        <f t="shared" si="5"/>
        <v>130.9</v>
      </c>
      <c r="J29" s="71">
        <v>60001</v>
      </c>
      <c r="K29" s="67">
        <f t="shared" si="10"/>
        <v>3366056.1</v>
      </c>
      <c r="L29" s="52">
        <f t="shared" si="11"/>
        <v>0.3</v>
      </c>
      <c r="M29" s="53">
        <f t="shared" si="12"/>
        <v>0</v>
      </c>
      <c r="O29" s="46">
        <f t="shared" si="13"/>
        <v>0</v>
      </c>
    </row>
    <row r="30" spans="1:15" ht="22.5" customHeight="1">
      <c r="A30" s="72">
        <v>16</v>
      </c>
      <c r="B30" s="64" t="s">
        <v>39</v>
      </c>
      <c r="C30" s="56"/>
      <c r="D30" s="57"/>
      <c r="E30" s="65">
        <v>841</v>
      </c>
      <c r="F30" s="70" t="s">
        <v>34</v>
      </c>
      <c r="G30" s="60">
        <f>E30*0.3</f>
        <v>252.29999999999998</v>
      </c>
      <c r="H30" s="60">
        <f>E30*0</f>
        <v>0</v>
      </c>
      <c r="I30" s="61">
        <f t="shared" si="5"/>
        <v>588.70000000000005</v>
      </c>
      <c r="J30" s="71">
        <v>50000</v>
      </c>
      <c r="K30" s="67">
        <f t="shared" si="10"/>
        <v>12615000</v>
      </c>
      <c r="L30" s="52">
        <f t="shared" si="11"/>
        <v>0.3</v>
      </c>
      <c r="M30" s="53">
        <f t="shared" si="12"/>
        <v>0</v>
      </c>
      <c r="O30" s="46">
        <f t="shared" si="13"/>
        <v>0</v>
      </c>
    </row>
    <row r="31" spans="1:15" ht="22.5" customHeight="1">
      <c r="A31" s="72"/>
      <c r="B31" s="64"/>
      <c r="C31" s="56"/>
      <c r="D31" s="57"/>
      <c r="E31" s="76"/>
      <c r="F31" s="59"/>
      <c r="G31" s="60"/>
      <c r="H31" s="60"/>
      <c r="I31" s="61"/>
      <c r="J31" s="73"/>
      <c r="K31" s="67"/>
      <c r="L31" s="52"/>
      <c r="M31" s="53"/>
      <c r="O31" s="46"/>
    </row>
    <row r="32" spans="1:15" ht="22.5" customHeight="1">
      <c r="A32" s="68" t="s">
        <v>40</v>
      </c>
      <c r="B32" s="69" t="s">
        <v>41</v>
      </c>
      <c r="C32" s="56"/>
      <c r="D32" s="57"/>
      <c r="E32" s="76"/>
      <c r="F32" s="59"/>
      <c r="G32" s="60"/>
      <c r="H32" s="60"/>
      <c r="I32" s="61"/>
      <c r="J32" s="73"/>
      <c r="K32" s="67"/>
      <c r="L32" s="52"/>
      <c r="M32" s="53"/>
      <c r="O32" s="46"/>
    </row>
    <row r="33" spans="1:18" ht="22.5" customHeight="1">
      <c r="A33" s="72">
        <v>2</v>
      </c>
      <c r="B33" s="64" t="s">
        <v>42</v>
      </c>
      <c r="C33" s="56"/>
      <c r="D33" s="57"/>
      <c r="E33" s="65">
        <v>767</v>
      </c>
      <c r="F33" s="70" t="s">
        <v>43</v>
      </c>
      <c r="G33" s="60">
        <f>E33*0.8</f>
        <v>613.6</v>
      </c>
      <c r="H33" s="60">
        <f>E33*0.2</f>
        <v>153.4</v>
      </c>
      <c r="I33" s="61">
        <f t="shared" si="5"/>
        <v>0</v>
      </c>
      <c r="J33" s="71">
        <v>45000</v>
      </c>
      <c r="K33" s="67">
        <f t="shared" ref="K33:K36" si="14">(G33+H33)*J33</f>
        <v>34515000</v>
      </c>
      <c r="L33" s="52">
        <f t="shared" ref="L33:L36" si="15">(G33+H33)/E33</f>
        <v>1</v>
      </c>
      <c r="M33" s="53">
        <f t="shared" ref="M33:M36" si="16">H33/E33</f>
        <v>0.2</v>
      </c>
      <c r="O33" s="46">
        <f t="shared" ref="O33:O36" si="17">H33*J33</f>
        <v>6903000</v>
      </c>
    </row>
    <row r="34" spans="1:18" ht="22.5" customHeight="1">
      <c r="A34" s="72">
        <v>4</v>
      </c>
      <c r="B34" s="64" t="s">
        <v>44</v>
      </c>
      <c r="C34" s="56"/>
      <c r="D34" s="57"/>
      <c r="E34" s="65">
        <v>17852</v>
      </c>
      <c r="F34" s="59" t="s">
        <v>45</v>
      </c>
      <c r="G34" s="60">
        <f>E34*0.8</f>
        <v>14281.6</v>
      </c>
      <c r="H34" s="60">
        <f>E34*0.2</f>
        <v>3570.4</v>
      </c>
      <c r="I34" s="61">
        <f t="shared" si="5"/>
        <v>0</v>
      </c>
      <c r="J34" s="73">
        <v>2300</v>
      </c>
      <c r="K34" s="67">
        <f t="shared" si="14"/>
        <v>41059600</v>
      </c>
      <c r="L34" s="52">
        <f t="shared" si="15"/>
        <v>1</v>
      </c>
      <c r="M34" s="53">
        <f t="shared" si="16"/>
        <v>0.2</v>
      </c>
      <c r="O34" s="46">
        <f t="shared" si="17"/>
        <v>8211920</v>
      </c>
    </row>
    <row r="35" spans="1:18" ht="22.5" customHeight="1">
      <c r="A35" s="72">
        <v>6</v>
      </c>
      <c r="B35" s="64" t="s">
        <v>46</v>
      </c>
      <c r="C35" s="56"/>
      <c r="D35" s="57"/>
      <c r="E35" s="65">
        <v>91</v>
      </c>
      <c r="F35" s="70" t="s">
        <v>47</v>
      </c>
      <c r="G35" s="60">
        <v>0</v>
      </c>
      <c r="H35" s="60">
        <f>E35</f>
        <v>91</v>
      </c>
      <c r="I35" s="61">
        <f t="shared" si="5"/>
        <v>0</v>
      </c>
      <c r="J35" s="73">
        <v>165000</v>
      </c>
      <c r="K35" s="67">
        <f t="shared" si="14"/>
        <v>15015000</v>
      </c>
      <c r="L35" s="52">
        <f t="shared" si="15"/>
        <v>1</v>
      </c>
      <c r="M35" s="53">
        <f t="shared" si="16"/>
        <v>1</v>
      </c>
      <c r="O35" s="46">
        <f t="shared" si="17"/>
        <v>15015000</v>
      </c>
    </row>
    <row r="36" spans="1:18" ht="22.5" customHeight="1">
      <c r="A36" s="72" t="s">
        <v>22</v>
      </c>
      <c r="B36" s="64" t="s">
        <v>48</v>
      </c>
      <c r="C36" s="56"/>
      <c r="D36" s="57"/>
      <c r="E36" s="76">
        <v>62.5</v>
      </c>
      <c r="F36" s="70" t="s">
        <v>26</v>
      </c>
      <c r="G36" s="60">
        <v>0</v>
      </c>
      <c r="H36" s="60">
        <f>E36</f>
        <v>62.5</v>
      </c>
      <c r="I36" s="61">
        <f t="shared" si="5"/>
        <v>0</v>
      </c>
      <c r="J36" s="73">
        <v>45000</v>
      </c>
      <c r="K36" s="67">
        <f t="shared" si="14"/>
        <v>2812500</v>
      </c>
      <c r="L36" s="52">
        <f t="shared" si="15"/>
        <v>1</v>
      </c>
      <c r="M36" s="53">
        <f t="shared" si="16"/>
        <v>1</v>
      </c>
      <c r="O36" s="46">
        <f t="shared" si="17"/>
        <v>2812500</v>
      </c>
    </row>
    <row r="37" spans="1:18" ht="22.5" customHeight="1">
      <c r="A37" s="72"/>
      <c r="B37" s="64"/>
      <c r="C37" s="56"/>
      <c r="D37" s="57"/>
      <c r="E37" s="76"/>
      <c r="F37" s="70"/>
      <c r="G37" s="77"/>
      <c r="H37" s="77"/>
      <c r="I37" s="77"/>
      <c r="J37" s="73"/>
      <c r="K37" s="78"/>
      <c r="L37" s="52"/>
      <c r="M37" s="53"/>
      <c r="O37" s="46"/>
      <c r="P37" s="46"/>
    </row>
    <row r="38" spans="1:18" ht="22.5" customHeight="1">
      <c r="A38" s="79"/>
      <c r="B38" s="80"/>
      <c r="C38" s="81"/>
      <c r="D38" s="82"/>
      <c r="E38" s="83"/>
      <c r="F38" s="83"/>
      <c r="G38" s="84"/>
      <c r="H38" s="85"/>
      <c r="I38" s="85"/>
      <c r="J38" s="86" t="s">
        <v>49</v>
      </c>
      <c r="K38" s="87">
        <f>SUM(K11:K37)</f>
        <v>1141649006.0999999</v>
      </c>
      <c r="L38" s="88"/>
      <c r="M38" s="89"/>
      <c r="O38" s="46">
        <f>SUM(O11:O37)</f>
        <v>36726920</v>
      </c>
    </row>
    <row r="39" spans="1:18" ht="22.5" customHeight="1" thickBot="1">
      <c r="A39" s="90"/>
      <c r="B39" s="91"/>
      <c r="C39" s="92"/>
      <c r="D39" s="93"/>
      <c r="E39" s="92"/>
      <c r="F39" s="92"/>
      <c r="G39" s="92"/>
      <c r="H39" s="94"/>
      <c r="I39" s="94"/>
      <c r="J39" s="95" t="s">
        <v>50</v>
      </c>
      <c r="K39" s="96">
        <f>K38*0.1</f>
        <v>114164900.61</v>
      </c>
      <c r="L39" s="43"/>
      <c r="M39" s="97" t="s">
        <v>51</v>
      </c>
      <c r="O39" s="46">
        <f>0.9*O38</f>
        <v>33054228</v>
      </c>
      <c r="P39" s="98" t="e">
        <f>K39-#REF!</f>
        <v>#REF!</v>
      </c>
    </row>
    <row r="40" spans="1:18" ht="22.5" customHeight="1" thickTop="1">
      <c r="A40" s="99"/>
      <c r="B40" s="100"/>
      <c r="C40" s="48"/>
      <c r="D40" s="101"/>
      <c r="E40" s="40"/>
      <c r="F40" s="40"/>
      <c r="G40" s="40"/>
      <c r="H40" s="102"/>
      <c r="I40" s="102"/>
      <c r="J40" s="103" t="s">
        <v>49</v>
      </c>
      <c r="K40" s="104">
        <f>K38-K39</f>
        <v>1027484105.4899999</v>
      </c>
      <c r="L40" s="43"/>
      <c r="M40" s="105"/>
      <c r="O40" s="46"/>
      <c r="P40" s="98"/>
    </row>
    <row r="41" spans="1:18" ht="22.5" customHeight="1" thickBot="1">
      <c r="A41" s="106" t="s">
        <v>52</v>
      </c>
      <c r="B41" s="107" t="s">
        <v>53</v>
      </c>
      <c r="C41" s="48"/>
      <c r="D41" s="101"/>
      <c r="E41" s="40"/>
      <c r="F41" s="40"/>
      <c r="G41" s="40"/>
      <c r="H41" s="102"/>
      <c r="I41" s="102"/>
      <c r="J41" s="103" t="s">
        <v>54</v>
      </c>
      <c r="K41" s="96">
        <f>41895900+[2]OPM6!K28+[2]OPM7!K32+[2]OPM8!K36+[2]OPM9!K38+[2]OPM10!K50+[2]OPM11!K38+[2]OPM12!K37+[2]OPM13!K34+[2]OPM14!K33+[2]OPM15!K40+[2]OPM16!K44+[2]OPM17!K36+[2]OPM18!K38+[2]OPM19!K39+[2]OPM20!K33+[2]OPM21!K33+[2]OPM22!K37+[2]OPM23!K32+[2]OPM24!K34+[2]OPM25!K46+[2]OPM26!K37+'[2]OPM27 (2)'!K40+[2]OPM28!K43+[2]OPM29!K43+[2]OPM30!K44+[2]OPM31!K45+[2]OPM32!K46+[2]OPM33!K44</f>
        <v>994429877.48999989</v>
      </c>
      <c r="L41" s="43"/>
      <c r="M41" s="97" t="s">
        <v>51</v>
      </c>
      <c r="P41" s="98"/>
    </row>
    <row r="42" spans="1:18" ht="22.5" customHeight="1" thickTop="1">
      <c r="A42" s="99"/>
      <c r="B42" s="100" t="s">
        <v>55</v>
      </c>
      <c r="C42" s="48"/>
      <c r="D42" s="108"/>
      <c r="E42" s="102"/>
      <c r="F42" s="40"/>
      <c r="G42" s="40"/>
      <c r="H42" s="102"/>
      <c r="I42" s="102"/>
      <c r="J42" s="103" t="s">
        <v>56</v>
      </c>
      <c r="K42" s="109">
        <f>K40-K41</f>
        <v>33054228</v>
      </c>
      <c r="L42" s="43"/>
      <c r="M42" s="105"/>
      <c r="O42" t="s">
        <v>57</v>
      </c>
    </row>
    <row r="43" spans="1:18" ht="22.5" customHeight="1" thickBot="1">
      <c r="A43" s="110"/>
      <c r="B43" s="111"/>
      <c r="C43" s="56"/>
      <c r="D43" s="112"/>
      <c r="E43" s="113"/>
      <c r="F43" s="114"/>
      <c r="G43" s="114"/>
      <c r="H43" s="113"/>
      <c r="I43" s="113"/>
      <c r="J43" s="115"/>
      <c r="K43" s="96">
        <v>10000000</v>
      </c>
      <c r="L43" s="67"/>
      <c r="M43" s="116"/>
    </row>
    <row r="44" spans="1:18" ht="22.5" customHeight="1" thickTop="1">
      <c r="A44" s="110"/>
      <c r="B44" s="111"/>
      <c r="C44" s="56"/>
      <c r="D44" s="112"/>
      <c r="E44" s="113"/>
      <c r="F44" s="114"/>
      <c r="G44" s="114"/>
      <c r="H44" s="113"/>
      <c r="I44" s="113"/>
      <c r="J44" s="117" t="s">
        <v>58</v>
      </c>
      <c r="K44" s="118">
        <f>K42+K43</f>
        <v>43054228</v>
      </c>
      <c r="L44" s="67"/>
      <c r="M44" s="116"/>
    </row>
    <row r="45" spans="1:18" s="2" customFormat="1" ht="15.75" thickBot="1">
      <c r="A45" s="119"/>
      <c r="B45" s="120"/>
      <c r="C45" s="121"/>
      <c r="D45" s="122"/>
      <c r="E45" s="123"/>
      <c r="F45" s="123"/>
      <c r="G45" s="123"/>
      <c r="H45" s="124"/>
      <c r="I45" s="124"/>
      <c r="J45" s="125"/>
      <c r="K45" s="126"/>
      <c r="L45" s="127"/>
      <c r="M45" s="128"/>
      <c r="N45"/>
      <c r="O45" s="46">
        <v>3335000</v>
      </c>
      <c r="P45"/>
    </row>
    <row r="46" spans="1:18" s="2" customFormat="1">
      <c r="A46" s="129"/>
      <c r="B46" s="129"/>
      <c r="C46" s="129"/>
      <c r="G46"/>
      <c r="J46" s="3"/>
      <c r="K46" s="3"/>
      <c r="L46" s="3"/>
      <c r="M46"/>
      <c r="N46"/>
      <c r="O46">
        <f>60*6</f>
        <v>360</v>
      </c>
      <c r="P46"/>
    </row>
    <row r="47" spans="1:18">
      <c r="A47" s="2"/>
      <c r="B47" s="130" t="s">
        <v>59</v>
      </c>
      <c r="C47" s="130"/>
      <c r="E47" s="130" t="s">
        <v>60</v>
      </c>
      <c r="F47" s="130"/>
      <c r="G47" s="130"/>
      <c r="I47" s="130" t="s">
        <v>61</v>
      </c>
      <c r="J47" s="130"/>
      <c r="K47" s="130"/>
      <c r="L47" s="131"/>
      <c r="O47">
        <f>(2*5.25*1.5)+(3.5*6.5*1.5)+(3.75*3.5*1)</f>
        <v>63</v>
      </c>
    </row>
    <row r="48" spans="1:18" s="2" customFormat="1">
      <c r="B48" s="131"/>
      <c r="C48" s="131"/>
      <c r="E48" s="131"/>
      <c r="F48" s="131"/>
      <c r="G48" s="131"/>
      <c r="I48" s="131"/>
      <c r="J48" s="131"/>
      <c r="K48" s="131"/>
      <c r="L48"/>
      <c r="M48"/>
      <c r="N48"/>
      <c r="O48"/>
      <c r="P48"/>
      <c r="Q48"/>
      <c r="R48"/>
    </row>
    <row r="49" spans="1:11">
      <c r="A49" s="2"/>
      <c r="B49" s="131"/>
      <c r="C49" s="131"/>
      <c r="E49" s="131"/>
      <c r="F49" s="131"/>
      <c r="G49" s="131"/>
      <c r="I49" s="131"/>
      <c r="J49" s="131"/>
      <c r="K49" s="131"/>
    </row>
  </sheetData>
  <dataConsolidate/>
  <printOptions horizontalCentered="1"/>
  <pageMargins left="0.196850393700787" right="0" top="0.118110236220472" bottom="0" header="0.23622047244094499" footer="3.9370078740157501E-2"/>
  <pageSetup paperSize="5" scale="70" orientation="portrait" horizontalDpi="360" verticalDpi="360" r:id="rId1"/>
  <headerFooter alignWithMargins="0"/>
  <legacyDrawing r:id="rId2"/>
  <oleObjects>
    <oleObject progId="CorelDRAW.Graphic.11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OPM34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M4570K0</dc:creator>
  <cp:lastModifiedBy>M4570K0</cp:lastModifiedBy>
  <dcterms:created xsi:type="dcterms:W3CDTF">2018-07-31T22:02:10Z</dcterms:created>
  <dcterms:modified xsi:type="dcterms:W3CDTF">2018-07-31T22:04:08Z</dcterms:modified>
</cp:coreProperties>
</file>