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" sheetId="1" r:id="rId1"/>
    <sheet name="Upah" sheetId="2" r:id="rId2"/>
    <sheet name="Analisa" sheetId="3" r:id="rId3"/>
    <sheet name="RAB (A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Tanggal</v>
      </c>
      <c r="C1" t="str">
        <v>:</v>
      </c>
    </row>
    <row r="2">
      <c r="A2" t="str">
        <v>Proyek</v>
      </c>
      <c r="C2" t="str">
        <v>:</v>
      </c>
      <c r="E2" t="str">
        <v>RAB Contoh</v>
      </c>
    </row>
    <row r="3">
      <c r="A3" t="str">
        <v>Lokasi</v>
      </c>
      <c r="C3" t="str">
        <v>:</v>
      </c>
      <c r="E3" t="str">
        <v>Surabaya</v>
      </c>
    </row>
    <row r="5">
      <c r="A5" t="str">
        <v>No.</v>
      </c>
      <c r="B5" t="str">
        <v>MATERIALS</v>
      </c>
      <c r="E5" t="str">
        <v>PRODUK / MODEL / TIPE</v>
      </c>
      <c r="F5" t="str">
        <v>SAT</v>
      </c>
      <c r="G5" t="str">
        <v>HARGA NET</v>
      </c>
    </row>
    <row r="6">
      <c r="F6" t="str">
        <v>Rp.</v>
      </c>
    </row>
    <row r="8">
      <c r="A8">
        <v>1</v>
      </c>
      <c r="B8" t="str">
        <v>Pasir Pasang</v>
      </c>
      <c r="E8" t="str">
        <v>ex Lumajang</v>
      </c>
      <c r="F8" t="str">
        <v>m3</v>
      </c>
      <c r="G8">
        <v>350000</v>
      </c>
    </row>
    <row r="9">
      <c r="A9">
        <v>2</v>
      </c>
      <c r="B9" t="str">
        <v>Split 1:2</v>
      </c>
      <c r="E9" t="str">
        <v>ex Lokal</v>
      </c>
      <c r="F9" t="str">
        <v>m3</v>
      </c>
      <c r="G9">
        <v>290000</v>
      </c>
    </row>
    <row r="10">
      <c r="A10">
        <v>3</v>
      </c>
      <c r="B10" t="str">
        <v>Semen PC @50kg</v>
      </c>
      <c r="E10" t="str">
        <v>Semen Gresik</v>
      </c>
      <c r="F10" t="str">
        <v>sak</v>
      </c>
      <c r="G10">
        <v>65000</v>
      </c>
    </row>
    <row r="11">
      <c r="A11">
        <v>4</v>
      </c>
      <c r="B11" t="str">
        <v>Readymix K-300</v>
      </c>
      <c r="E11" t="str">
        <v>Jayamix slump 12±2</v>
      </c>
      <c r="F11" t="str">
        <v>m3</v>
      </c>
      <c r="G11">
        <v>1040000</v>
      </c>
    </row>
    <row r="12">
      <c r="A12">
        <v>5</v>
      </c>
      <c r="B12" t="str">
        <v>Readymix K-350</v>
      </c>
      <c r="E12" t="str">
        <v>Jayamix slump 12±2</v>
      </c>
      <c r="F12" t="str">
        <v>m3</v>
      </c>
      <c r="G12">
        <v>1100000</v>
      </c>
    </row>
    <row r="13">
      <c r="A13">
        <v>6</v>
      </c>
      <c r="B13" t="str">
        <v>Readymix K-400</v>
      </c>
      <c r="E13" t="str">
        <v>Jayamix slump 12±2</v>
      </c>
      <c r="F13" t="str">
        <v>m3</v>
      </c>
      <c r="G13">
        <v>1160000</v>
      </c>
    </row>
    <row r="14">
      <c r="A14">
        <v>7</v>
      </c>
      <c r="B14" t="str">
        <v>Besi beton BJTD U40 D10</v>
      </c>
      <c r="E14" t="str">
        <v>SNI</v>
      </c>
      <c r="F14" t="str">
        <v>kg</v>
      </c>
      <c r="G14">
        <v>13500</v>
      </c>
    </row>
    <row r="15">
      <c r="A15">
        <v>8</v>
      </c>
      <c r="B15" t="str">
        <v>Besi beton BJTD U40 D13</v>
      </c>
      <c r="E15" t="str">
        <v>SNI</v>
      </c>
      <c r="F15" t="str">
        <v>kg</v>
      </c>
      <c r="G15">
        <v>13500</v>
      </c>
    </row>
    <row r="16">
      <c r="A16">
        <v>9</v>
      </c>
      <c r="B16" t="str">
        <v>Besi beton BJTD U40 D16</v>
      </c>
      <c r="E16" t="str">
        <v>SNI</v>
      </c>
      <c r="F16" t="str">
        <v>kg</v>
      </c>
      <c r="G16">
        <v>13500</v>
      </c>
    </row>
    <row r="17">
      <c r="A17">
        <v>10</v>
      </c>
      <c r="B17" t="str">
        <v>Kawat beton</v>
      </c>
      <c r="E17" t="str">
        <v>ex lokal</v>
      </c>
      <c r="F17" t="str">
        <v>kg</v>
      </c>
      <c r="G17">
        <v>22000</v>
      </c>
    </row>
    <row r="18">
      <c r="A18">
        <v>11</v>
      </c>
      <c r="B18" t="str">
        <v>Air kerja</v>
      </c>
      <c r="F18" t="str">
        <v>m3</v>
      </c>
      <c r="G18">
        <v>40000</v>
      </c>
    </row>
    <row r="19">
      <c r="A19">
        <v>12</v>
      </c>
      <c r="B19" t="str">
        <v>Multipleks phenol film t=12mm</v>
      </c>
      <c r="E19" t="str">
        <v>Dynea</v>
      </c>
      <c r="F19" t="str">
        <v>lbr</v>
      </c>
      <c r="G19">
        <v>365000</v>
      </c>
    </row>
    <row r="20">
      <c r="A20">
        <v>13</v>
      </c>
      <c r="B20" t="str">
        <v>Paku 5cm</v>
      </c>
      <c r="F20" t="str">
        <v>kg</v>
      </c>
      <c r="G20">
        <v>25000</v>
      </c>
    </row>
    <row r="21">
      <c r="A21">
        <v>14</v>
      </c>
      <c r="B21" t="str">
        <v>Bata merah</v>
      </c>
      <c r="E21" t="str">
        <v>lokal poklu</v>
      </c>
      <c r="F21" t="str">
        <v>pcs</v>
      </c>
      <c r="G21">
        <v>900</v>
      </c>
    </row>
    <row r="22">
      <c r="A22">
        <v>15</v>
      </c>
      <c r="B22" t="str">
        <v>Pipa PVC 4 inch AW</v>
      </c>
      <c r="E22" t="str">
        <v>Rucika</v>
      </c>
      <c r="F22" t="str">
        <v>btg</v>
      </c>
      <c r="G22">
        <v>460000</v>
      </c>
    </row>
  </sheetData>
  <ignoredErrors>
    <ignoredError numberStoredAsText="1" sqref="A1:G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4">
      <c r="A4" t="str">
        <v>No.</v>
      </c>
      <c r="B4" t="str">
        <v>P E K E R J A A N</v>
      </c>
      <c r="C4" t="str">
        <v>SAT</v>
      </c>
      <c r="D4" t="str">
        <v>UPAH NET</v>
      </c>
    </row>
    <row r="5">
      <c r="D5" t="str">
        <v>Rp.</v>
      </c>
    </row>
    <row r="7">
      <c r="A7">
        <v>1</v>
      </c>
      <c r="B7" t="str">
        <v>Pekerja</v>
      </c>
      <c r="C7" t="str">
        <v>OH</v>
      </c>
      <c r="D7">
        <v>130000</v>
      </c>
    </row>
    <row r="8">
      <c r="A8">
        <v>2</v>
      </c>
      <c r="B8" t="str">
        <v>Tukang batu</v>
      </c>
      <c r="C8" t="str">
        <v>OH</v>
      </c>
      <c r="D8">
        <v>175000</v>
      </c>
    </row>
    <row r="9">
      <c r="A9">
        <v>3</v>
      </c>
      <c r="B9" t="str">
        <v>Tukang besi</v>
      </c>
      <c r="C9" t="str">
        <v>OH</v>
      </c>
      <c r="D9">
        <v>175000</v>
      </c>
    </row>
    <row r="10">
      <c r="A10">
        <v>4</v>
      </c>
      <c r="B10" t="str">
        <v>Tukang kayu</v>
      </c>
      <c r="C10" t="str">
        <v>OH</v>
      </c>
      <c r="D10">
        <v>175000</v>
      </c>
    </row>
    <row r="11">
      <c r="A11">
        <v>5</v>
      </c>
      <c r="B11" t="str">
        <v>Kepala tukang</v>
      </c>
      <c r="C11" t="str">
        <v>OH</v>
      </c>
      <c r="D11">
        <v>200000</v>
      </c>
    </row>
    <row r="12">
      <c r="A12">
        <v>6</v>
      </c>
      <c r="B12" t="str">
        <v>Mandor</v>
      </c>
      <c r="C12" t="str">
        <v>OH</v>
      </c>
      <c r="D12">
        <v>210000</v>
      </c>
    </row>
    <row r="13">
      <c r="A13">
        <v>7</v>
      </c>
      <c r="B13" t="str">
        <v>Cor beton manual</v>
      </c>
      <c r="C13" t="str">
        <v>m3</v>
      </c>
      <c r="D13">
        <v>100000</v>
      </c>
    </row>
    <row r="14">
      <c r="A14">
        <v>8</v>
      </c>
      <c r="B14" t="str">
        <v>Pasang besi manual</v>
      </c>
      <c r="C14" t="str">
        <v>kg</v>
      </c>
      <c r="D14">
        <v>2500</v>
      </c>
    </row>
    <row r="15">
      <c r="A15">
        <v>9</v>
      </c>
      <c r="B15" t="str">
        <v>Pasang bekisting</v>
      </c>
      <c r="C15" t="str">
        <v>m2</v>
      </c>
      <c r="D15">
        <v>60000</v>
      </c>
    </row>
    <row r="16">
      <c r="A16">
        <v>10</v>
      </c>
      <c r="B16" t="str">
        <v>Bongkar bekisting</v>
      </c>
      <c r="C16" t="str">
        <v>m2</v>
      </c>
      <c r="D16">
        <v>25000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1">
      <c r="A1" t="str">
        <v>DAFTAR ANALISA HARGA SATUAN</v>
      </c>
    </row>
    <row r="3">
      <c r="A3" t="str">
        <v>Proyek</v>
      </c>
      <c r="B3" t="str">
        <v>: RAB Contoh</v>
      </c>
    </row>
    <row r="4">
      <c r="A4" t="str">
        <v>Lokasi</v>
      </c>
      <c r="B4" t="str">
        <v>: Surabaya</v>
      </c>
    </row>
    <row r="9">
      <c r="A9" t="str">
        <v>No.</v>
      </c>
      <c r="B9" t="str">
        <v>URAIAN PEKERJAAN</v>
      </c>
      <c r="E9" t="str">
        <v>HARGA SATUAN</v>
      </c>
      <c r="F9" t="str">
        <v>MATERIAL</v>
      </c>
      <c r="G9" t="str">
        <v>UPAH</v>
      </c>
      <c r="H9" t="str">
        <v>PERALATAN</v>
      </c>
      <c r="I9" t="str">
        <v>JUMLAH HARGA</v>
      </c>
    </row>
    <row r="10">
      <c r="E10" t="str">
        <v>(Rp.)</v>
      </c>
      <c r="F10" t="str">
        <v>(Rp.)</v>
      </c>
      <c r="G10" t="str">
        <v>(Rp.)</v>
      </c>
      <c r="H10" t="str">
        <v>(Rp.)</v>
      </c>
      <c r="I10" t="str">
        <v>(Rp.)</v>
      </c>
    </row>
    <row r="13">
      <c r="B13" t="str">
        <v>1 m3 Beton Readymix K-300</v>
      </c>
    </row>
    <row r="14">
      <c r="B14">
        <v>1.02</v>
      </c>
      <c r="C14" t="str">
        <v>m3</v>
      </c>
      <c r="D14" t="str">
        <v>Readymix K-300</v>
      </c>
      <c r="E14">
        <f>Material!$G$11</f>
        <v>1040000</v>
      </c>
      <c r="F14">
        <f>B14*E14</f>
        <v>1060800</v>
      </c>
    </row>
    <row r="15">
      <c r="E15" t="str">
        <v>Jumlah</v>
      </c>
      <c r="F15">
        <f>SUM(F13:F14)</f>
        <v>1060800</v>
      </c>
      <c r="G15">
        <f>SUM(G13:G14)</f>
        <v>0</v>
      </c>
      <c r="H15">
        <f>SUM(H13:H14)</f>
        <v>0</v>
      </c>
      <c r="I15">
        <f>F15+G15+H15</f>
        <v>1060800</v>
      </c>
    </row>
    <row r="17">
      <c r="B17" t="str">
        <v>1 m2 Bekisting Kolom Multipleks</v>
      </c>
    </row>
    <row r="18">
      <c r="B18">
        <v>0.35</v>
      </c>
      <c r="C18" t="str">
        <v>lbr</v>
      </c>
      <c r="D18" t="str">
        <v>Multipleks phenol film t=12mm</v>
      </c>
      <c r="E18">
        <f>Material!$G$19</f>
        <v>365000</v>
      </c>
      <c r="F18">
        <f>B18*E18</f>
        <v>127749.99999999999</v>
      </c>
    </row>
    <row r="19">
      <c r="B19">
        <v>0.4</v>
      </c>
      <c r="C19" t="str">
        <v>kg</v>
      </c>
      <c r="D19" t="str">
        <v>Paku 5cm</v>
      </c>
      <c r="E19">
        <f>Material!$G$20</f>
        <v>25000</v>
      </c>
      <c r="F19">
        <f>B19*E19</f>
        <v>10000</v>
      </c>
    </row>
    <row r="20">
      <c r="B20">
        <v>1</v>
      </c>
      <c r="C20" t="str">
        <v>m2</v>
      </c>
      <c r="D20" t="str">
        <v>Pasang bekisting</v>
      </c>
      <c r="E20">
        <f>Upah!$D$15</f>
        <v>60000</v>
      </c>
      <c r="G20">
        <f>B20*E20</f>
        <v>60000</v>
      </c>
    </row>
    <row r="21">
      <c r="B21">
        <v>1</v>
      </c>
      <c r="C21" t="str">
        <v>m2</v>
      </c>
      <c r="D21" t="str">
        <v>Bongkar bekisting</v>
      </c>
      <c r="E21">
        <f>Upah!$D$16</f>
        <v>25000</v>
      </c>
      <c r="G21">
        <f>B21*E21</f>
        <v>25000</v>
      </c>
    </row>
    <row r="22">
      <c r="E22" t="str">
        <v>Jumlah</v>
      </c>
      <c r="F22">
        <f>SUM(F17:F21)</f>
        <v>137750</v>
      </c>
      <c r="G22">
        <f>SUM(G17:G21)</f>
        <v>85000</v>
      </c>
      <c r="H22">
        <f>SUM(H17:H21)</f>
        <v>0</v>
      </c>
      <c r="I22">
        <f>F22+G22+H22</f>
        <v>222750</v>
      </c>
    </row>
    <row r="24">
      <c r="B24" t="str">
        <v>1 kg Pembesian Besi BJTD D13</v>
      </c>
    </row>
    <row r="25">
      <c r="B25">
        <v>1.05</v>
      </c>
      <c r="C25" t="str">
        <v>kg</v>
      </c>
      <c r="D25" t="str">
        <v>Besi beton BJTD U40 D13</v>
      </c>
      <c r="E25">
        <f>Material!$G$15</f>
        <v>13500</v>
      </c>
      <c r="F25">
        <f>B25*E25</f>
        <v>14175</v>
      </c>
    </row>
    <row r="26">
      <c r="B26">
        <v>0.015</v>
      </c>
      <c r="C26" t="str">
        <v>kg</v>
      </c>
      <c r="D26" t="str">
        <v>Kawat beton</v>
      </c>
      <c r="E26">
        <f>Material!$G$17</f>
        <v>22000</v>
      </c>
      <c r="F26">
        <f>B26*E26</f>
        <v>330</v>
      </c>
    </row>
    <row r="27">
      <c r="B27">
        <v>1</v>
      </c>
      <c r="C27" t="str">
        <v>kg</v>
      </c>
      <c r="D27" t="str">
        <v>Pasang besi manual</v>
      </c>
      <c r="E27">
        <f>Upah!$D$14</f>
        <v>2500</v>
      </c>
      <c r="G27">
        <f>B27*E27</f>
        <v>2500</v>
      </c>
    </row>
    <row r="28">
      <c r="E28" t="str">
        <v>Jumlah</v>
      </c>
      <c r="F28">
        <f>SUM(F24:F27)</f>
        <v>14505</v>
      </c>
      <c r="G28">
        <f>SUM(G24:G27)</f>
        <v>2500</v>
      </c>
      <c r="H28">
        <f>SUM(H24:H27)</f>
        <v>0</v>
      </c>
      <c r="I28">
        <f>F28+G28+H28</f>
        <v>17005</v>
      </c>
    </row>
  </sheetData>
  <ignoredErrors>
    <ignoredError numberStoredAsText="1" sqref="A1:I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Data>
    <row r="1">
      <c r="A1" t="str">
        <v>Estimasi Biaya — Contoh</v>
      </c>
    </row>
    <row r="2">
      <c r="A2" t="str">
        <v>Pekerjaan</v>
      </c>
      <c r="B2" t="str">
        <v>: Struktur Contoh</v>
      </c>
    </row>
    <row r="3">
      <c r="A3" t="str">
        <v>Lokasi</v>
      </c>
      <c r="B3" t="str">
        <v>: Surabaya</v>
      </c>
    </row>
    <row r="7">
      <c r="A7" t="str">
        <v>NO</v>
      </c>
      <c r="B7" t="str">
        <v>URAIAN PEKERJAAN</v>
      </c>
      <c r="C7" t="str">
        <v>SAT</v>
      </c>
      <c r="D7" t="str">
        <v>VOLUME</v>
      </c>
      <c r="E7" t="str">
        <v>HARGA SATUAN</v>
      </c>
      <c r="F7" t="str">
        <v>TOTAL HARGA</v>
      </c>
      <c r="H7" t="str">
        <v>VOLUME</v>
      </c>
      <c r="I7" t="str">
        <v>Material</v>
      </c>
      <c r="J7" t="str">
        <v>Upah</v>
      </c>
      <c r="K7" t="str">
        <v>Peralatan</v>
      </c>
      <c r="L7" t="str">
        <v>Subkon</v>
      </c>
      <c r="M7" t="str">
        <v>Prelim</v>
      </c>
      <c r="N7" t="str">
        <v>TOTAL HARGA SATUAN</v>
      </c>
      <c r="O7" t="str">
        <v>TOTAL HARGA</v>
      </c>
    </row>
    <row r="9">
      <c r="A9" t="str">
        <v>I</v>
      </c>
      <c r="B9" t="str">
        <v>PEKERJAAN STRUKTUR</v>
      </c>
    </row>
    <row r="11">
      <c r="A11">
        <v>1</v>
      </c>
      <c r="B11" t="str">
        <v>Pengecoran kolom beton K-300</v>
      </c>
      <c r="C11" t="str">
        <v>m3</v>
      </c>
      <c r="D11">
        <f>H11</f>
        <v>12.5</v>
      </c>
      <c r="E11">
        <f>N11</f>
        <v>1060800</v>
      </c>
      <c r="F11">
        <f>O11</f>
        <v>13260000</v>
      </c>
      <c r="H11">
        <v>12.5</v>
      </c>
      <c r="I11">
        <f>Analisa!$F$15</f>
        <v>1060800</v>
      </c>
      <c r="J11">
        <f>Analisa!$G$15</f>
        <v>0</v>
      </c>
      <c r="K11">
        <f>Analisa!$H$15</f>
        <v>0</v>
      </c>
      <c r="N11">
        <f>SUM(I11:M11)</f>
        <v>1060800</v>
      </c>
      <c r="O11">
        <f>H11*N11</f>
        <v>13260000</v>
      </c>
    </row>
    <row r="12">
      <c r="A12">
        <v>2</v>
      </c>
      <c r="B12" t="str">
        <v>Pembesian kolom BJTD D13</v>
      </c>
      <c r="C12" t="str">
        <v>kg</v>
      </c>
      <c r="D12">
        <f>H12</f>
        <v>1850</v>
      </c>
      <c r="E12">
        <f>N12</f>
        <v>17005</v>
      </c>
      <c r="F12">
        <f>O12</f>
        <v>31459250</v>
      </c>
      <c r="H12">
        <v>1850</v>
      </c>
      <c r="I12">
        <f>Analisa!$F$28</f>
        <v>14505</v>
      </c>
      <c r="J12">
        <f>Analisa!$G$28</f>
        <v>2500</v>
      </c>
      <c r="K12">
        <f>Analisa!$H$28</f>
        <v>0</v>
      </c>
      <c r="N12">
        <f>SUM(I12:M12)</f>
        <v>17005</v>
      </c>
      <c r="O12">
        <f>H12*N12</f>
        <v>31459250</v>
      </c>
    </row>
    <row r="13">
      <c r="A13">
        <v>3</v>
      </c>
      <c r="B13" t="str">
        <v>Bekisting kolom multipleks</v>
      </c>
      <c r="C13" t="str">
        <v>m2</v>
      </c>
      <c r="D13">
        <f>H13</f>
        <v>85</v>
      </c>
      <c r="E13">
        <f>N13</f>
        <v>222750</v>
      </c>
      <c r="F13">
        <f>O13</f>
        <v>18933750</v>
      </c>
      <c r="H13">
        <v>85</v>
      </c>
      <c r="I13">
        <f>Analisa!$F$22</f>
        <v>137750</v>
      </c>
      <c r="J13">
        <f>Analisa!$G$22</f>
        <v>85000</v>
      </c>
      <c r="K13">
        <f>Analisa!$H$22</f>
        <v>0</v>
      </c>
      <c r="N13">
        <f>SUM(I13:M13)</f>
        <v>222750</v>
      </c>
      <c r="O13">
        <f>H13*N13</f>
        <v>18933750</v>
      </c>
    </row>
  </sheetData>
  <ignoredErrors>
    <ignoredError numberStoredAsText="1" sqref="A1:O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Material</vt:lpstr>
      <vt:lpstr>Upah</vt:lpstr>
      <vt:lpstr>Analisa</vt:lpstr>
      <vt:lpstr>RAB (A)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