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Opnam Fisik\opnam Embong Kenongo\"/>
    </mc:Choice>
  </mc:AlternateContent>
  <bookViews>
    <workbookView xWindow="0" yWindow="0" windowWidth="20490" windowHeight="7755"/>
  </bookViews>
  <sheets>
    <sheet name="Opname_9" sheetId="2" r:id="rId1"/>
  </sheets>
  <externalReferences>
    <externalReference r:id="rId2"/>
    <externalReference r:id="rId3"/>
    <externalReference r:id="rId4"/>
  </externalReferences>
  <definedNames>
    <definedName name="_xlnm.Print_Area" localSheetId="0">Opname_9!$A$1:$I$190</definedName>
    <definedName name="_xlnm.Print_Titles" localSheetId="0">Opname_9!$7:$8</definedName>
  </definedNames>
  <calcPr calcId="152511"/>
</workbook>
</file>

<file path=xl/calcChain.xml><?xml version="1.0" encoding="utf-8"?>
<calcChain xmlns="http://schemas.openxmlformats.org/spreadsheetml/2006/main">
  <c r="K155" i="2" l="1"/>
  <c r="K154" i="2" l="1"/>
  <c r="I154" i="2"/>
  <c r="I174" i="2"/>
  <c r="K153" i="2" l="1"/>
  <c r="K152" i="2"/>
  <c r="L171" i="2" l="1"/>
  <c r="I153" i="2" l="1"/>
  <c r="I155" i="2"/>
  <c r="I156" i="2"/>
  <c r="I159" i="2"/>
  <c r="I152" i="2"/>
  <c r="G158" i="2"/>
  <c r="I158" i="2" s="1"/>
  <c r="G157" i="2"/>
  <c r="I157" i="2" s="1"/>
  <c r="L90" i="2" l="1"/>
  <c r="E91" i="2"/>
  <c r="L91" i="2" s="1"/>
  <c r="I11" i="2"/>
  <c r="G12" i="2"/>
  <c r="I12" i="2" s="1"/>
  <c r="G13" i="2"/>
  <c r="I13" i="2" s="1"/>
  <c r="I14" i="2"/>
  <c r="I17" i="2"/>
  <c r="I18" i="2"/>
  <c r="I19" i="2"/>
  <c r="I20" i="2"/>
  <c r="I21" i="2"/>
  <c r="I22" i="2"/>
  <c r="I25" i="2"/>
  <c r="I26" i="2"/>
  <c r="I27" i="2"/>
  <c r="I28" i="2"/>
  <c r="I29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G64" i="2"/>
  <c r="I64" i="2" s="1"/>
  <c r="I65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G83" i="2"/>
  <c r="I83" i="2" s="1"/>
  <c r="I84" i="2"/>
  <c r="I85" i="2"/>
  <c r="I86" i="2"/>
  <c r="I87" i="2"/>
  <c r="I88" i="2"/>
  <c r="I95" i="2"/>
  <c r="I96" i="2"/>
  <c r="I97" i="2"/>
  <c r="I98" i="2"/>
  <c r="I99" i="2"/>
  <c r="I100" i="2"/>
  <c r="I101" i="2"/>
  <c r="I102" i="2"/>
  <c r="I103" i="2"/>
  <c r="G104" i="2"/>
  <c r="G105" i="2" s="1"/>
  <c r="I127" i="2"/>
  <c r="G128" i="2"/>
  <c r="G129" i="2" s="1"/>
  <c r="I129" i="2" s="1"/>
  <c r="I131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G148" i="2"/>
  <c r="I148" i="2" s="1"/>
  <c r="G149" i="2"/>
  <c r="I149" i="2" s="1"/>
  <c r="M34" i="2"/>
  <c r="M63" i="2" s="1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K46" i="2"/>
  <c r="I178" i="2"/>
  <c r="E175" i="2"/>
  <c r="K169" i="2"/>
  <c r="K168" i="2"/>
  <c r="K167" i="2"/>
  <c r="K166" i="2"/>
  <c r="K165" i="2"/>
  <c r="K164" i="2"/>
  <c r="K163" i="2"/>
  <c r="K162" i="2"/>
  <c r="K161" i="2"/>
  <c r="K160" i="2"/>
  <c r="K150" i="2"/>
  <c r="K149" i="2"/>
  <c r="K148" i="2"/>
  <c r="K147" i="2"/>
  <c r="K146" i="2"/>
  <c r="K145" i="2"/>
  <c r="K144" i="2"/>
  <c r="K143" i="2"/>
  <c r="K142" i="2"/>
  <c r="K141" i="2"/>
  <c r="K140" i="2"/>
  <c r="K139" i="2"/>
  <c r="K138" i="2"/>
  <c r="K137" i="2"/>
  <c r="K136" i="2"/>
  <c r="K135" i="2"/>
  <c r="K134" i="2"/>
  <c r="K133" i="2"/>
  <c r="K132" i="2"/>
  <c r="K131" i="2"/>
  <c r="K130" i="2"/>
  <c r="K129" i="2"/>
  <c r="K128" i="2"/>
  <c r="K127" i="2"/>
  <c r="K126" i="2"/>
  <c r="K125" i="2"/>
  <c r="K124" i="2"/>
  <c r="K123" i="2"/>
  <c r="K122" i="2"/>
  <c r="K121" i="2"/>
  <c r="K120" i="2"/>
  <c r="K119" i="2"/>
  <c r="K118" i="2"/>
  <c r="K117" i="2"/>
  <c r="K116" i="2"/>
  <c r="K115" i="2"/>
  <c r="K114" i="2"/>
  <c r="K113" i="2"/>
  <c r="K112" i="2"/>
  <c r="K111" i="2"/>
  <c r="K110" i="2"/>
  <c r="K109" i="2"/>
  <c r="K108" i="2"/>
  <c r="K107" i="2"/>
  <c r="K106" i="2"/>
  <c r="K105" i="2"/>
  <c r="K104" i="2"/>
  <c r="K103" i="2"/>
  <c r="K102" i="2"/>
  <c r="K101" i="2"/>
  <c r="K100" i="2"/>
  <c r="K99" i="2"/>
  <c r="K98" i="2"/>
  <c r="K97" i="2"/>
  <c r="K96" i="2"/>
  <c r="K95" i="2"/>
  <c r="K94" i="2"/>
  <c r="K93" i="2"/>
  <c r="K92" i="2"/>
  <c r="K88" i="2"/>
  <c r="K87" i="2"/>
  <c r="K86" i="2"/>
  <c r="K85" i="2"/>
  <c r="K84" i="2"/>
  <c r="K83" i="2"/>
  <c r="K82" i="2"/>
  <c r="K81" i="2"/>
  <c r="K80" i="2"/>
  <c r="K79" i="2"/>
  <c r="K78" i="2"/>
  <c r="K77" i="2"/>
  <c r="K76" i="2"/>
  <c r="K75" i="2"/>
  <c r="K74" i="2"/>
  <c r="K73" i="2"/>
  <c r="K72" i="2"/>
  <c r="K71" i="2"/>
  <c r="K70" i="2"/>
  <c r="K69" i="2"/>
  <c r="K68" i="2"/>
  <c r="K67" i="2"/>
  <c r="K65" i="2"/>
  <c r="K64" i="2"/>
  <c r="K63" i="2"/>
  <c r="K62" i="2"/>
  <c r="K61" i="2"/>
  <c r="K60" i="2"/>
  <c r="K59" i="2"/>
  <c r="K58" i="2"/>
  <c r="K57" i="2"/>
  <c r="K56" i="2"/>
  <c r="K55" i="2"/>
  <c r="K54" i="2"/>
  <c r="K53" i="2"/>
  <c r="K52" i="2"/>
  <c r="K51" i="2"/>
  <c r="K50" i="2"/>
  <c r="K49" i="2"/>
  <c r="K45" i="2"/>
  <c r="K44" i="2"/>
  <c r="K43" i="2"/>
  <c r="K42" i="2"/>
  <c r="K41" i="2"/>
  <c r="K40" i="2"/>
  <c r="K39" i="2"/>
  <c r="K38" i="2"/>
  <c r="K35" i="2"/>
  <c r="K34" i="2"/>
  <c r="K32" i="2"/>
  <c r="K27" i="2"/>
  <c r="K18" i="2"/>
  <c r="K14" i="2"/>
  <c r="K13" i="2"/>
  <c r="K11" i="2"/>
  <c r="I128" i="2" l="1"/>
  <c r="G130" i="2"/>
  <c r="I130" i="2" s="1"/>
  <c r="I105" i="2"/>
  <c r="G106" i="2"/>
  <c r="I104" i="2"/>
  <c r="I106" i="2" l="1"/>
  <c r="G107" i="2"/>
  <c r="I107" i="2" l="1"/>
  <c r="G108" i="2"/>
  <c r="G109" i="2" l="1"/>
  <c r="I108" i="2"/>
  <c r="I109" i="2" l="1"/>
  <c r="G110" i="2"/>
  <c r="I110" i="2" l="1"/>
  <c r="G111" i="2"/>
  <c r="G112" i="2" l="1"/>
  <c r="I111" i="2"/>
  <c r="G113" i="2" l="1"/>
  <c r="I112" i="2"/>
  <c r="I113" i="2" l="1"/>
  <c r="G114" i="2"/>
  <c r="I114" i="2" l="1"/>
  <c r="G115" i="2"/>
  <c r="I115" i="2" l="1"/>
  <c r="G116" i="2"/>
  <c r="G117" i="2" l="1"/>
  <c r="I116" i="2"/>
  <c r="I117" i="2" l="1"/>
  <c r="G118" i="2"/>
  <c r="G119" i="2" l="1"/>
  <c r="I118" i="2"/>
  <c r="G120" i="2" l="1"/>
  <c r="I119" i="2"/>
  <c r="G121" i="2" l="1"/>
  <c r="I120" i="2"/>
  <c r="I121" i="2" l="1"/>
  <c r="G122" i="2"/>
  <c r="I122" i="2" l="1"/>
  <c r="G123" i="2"/>
  <c r="I123" i="2" l="1"/>
  <c r="G124" i="2"/>
  <c r="G125" i="2" l="1"/>
  <c r="I124" i="2"/>
  <c r="I125" i="2" l="1"/>
  <c r="G126" i="2"/>
  <c r="I126" i="2" s="1"/>
  <c r="I169" i="2" s="1"/>
  <c r="I171" i="2" s="1"/>
  <c r="I172" i="2" l="1"/>
  <c r="I173" i="2" s="1"/>
  <c r="I176" i="2" s="1"/>
</calcChain>
</file>

<file path=xl/sharedStrings.xml><?xml version="1.0" encoding="utf-8"?>
<sst xmlns="http://schemas.openxmlformats.org/spreadsheetml/2006/main" count="329" uniqueCount="183">
  <si>
    <t>OPNAME PEKERJAAN FISIK</t>
  </si>
  <si>
    <t>Pemilik</t>
  </si>
  <si>
    <t>:</t>
  </si>
  <si>
    <t>Alfrieda Laymanto</t>
  </si>
  <si>
    <t>Lokasi</t>
  </si>
  <si>
    <t>Jl. Embong Kenongo 40</t>
  </si>
  <si>
    <t>Tgl</t>
  </si>
  <si>
    <t>Opname Minggu ke :</t>
  </si>
  <si>
    <t>No.</t>
  </si>
  <si>
    <t>Uraian Pekerjaan</t>
  </si>
  <si>
    <t>Budget</t>
  </si>
  <si>
    <t>Sat.</t>
  </si>
  <si>
    <t>H. Satuan</t>
  </si>
  <si>
    <t>Progress</t>
  </si>
  <si>
    <t>Volume</t>
  </si>
  <si>
    <t>( Rp )</t>
  </si>
  <si>
    <t>( % )</t>
  </si>
  <si>
    <t>Selesai</t>
  </si>
  <si>
    <t>I</t>
  </si>
  <si>
    <t>PEKERJAAN PENDAHULUAN</t>
  </si>
  <si>
    <t>Direksi keet (Buat KM/WC )</t>
  </si>
  <si>
    <r>
      <t>m</t>
    </r>
    <r>
      <rPr>
        <vertAlign val="superscript"/>
        <sz val="11"/>
        <rFont val="Arial"/>
        <family val="2"/>
      </rPr>
      <t>1</t>
    </r>
  </si>
  <si>
    <t>Pagar pengaman</t>
  </si>
  <si>
    <t>m'</t>
  </si>
  <si>
    <t>Bouwplank / Euitzet (euitzet ulang, h satuan 50%)</t>
  </si>
  <si>
    <t>Tenaga pembersihan proyek selama pekerjaan fisik</t>
  </si>
  <si>
    <t>bln</t>
  </si>
  <si>
    <t>II</t>
  </si>
  <si>
    <t>PEKERJAAN TANAH</t>
  </si>
  <si>
    <t>Galian tanah untuk sloof &amp; poer (manual)</t>
  </si>
  <si>
    <r>
      <t>m</t>
    </r>
    <r>
      <rPr>
        <vertAlign val="superscript"/>
        <sz val="11"/>
        <rFont val="Arial"/>
        <family val="2"/>
      </rPr>
      <t>3</t>
    </r>
  </si>
  <si>
    <t>Angkut &amp; ratakan galian tanah sloof &amp; poer (manual)</t>
  </si>
  <si>
    <t>Urugan sirtu bawah lantai basement (+1.20 dari jln)</t>
  </si>
  <si>
    <t>Pemadatan tanah sirtu bawah lantai basement (2x)</t>
  </si>
  <si>
    <t>Urug sirtu area belakang+spg &amp; tangga teras (manual)</t>
  </si>
  <si>
    <t>Pemadatan tanah area belakang+spg &amp; tg teras (2x)</t>
  </si>
  <si>
    <t>III</t>
  </si>
  <si>
    <t>Pekerjaan Kepras Tiang Pancang</t>
  </si>
  <si>
    <t>Titik tiang pancang injeksi + borepile</t>
  </si>
  <si>
    <t>ttk</t>
  </si>
  <si>
    <t>Potong tiang pancang 25.25 (saat pemancangan)</t>
  </si>
  <si>
    <t>Kepras tiang pancang (setelah pancang)</t>
  </si>
  <si>
    <t xml:space="preserve">Gali tanah utk titik pancang yg kena pondasi lama </t>
  </si>
  <si>
    <t>Preboring 3 m utk lokasi titik pancang</t>
  </si>
  <si>
    <t>IV</t>
  </si>
  <si>
    <t>Pekerjaan Pondasi &amp; Beton Lt. Basement (+1,20 m)</t>
  </si>
  <si>
    <t>Lantai kerja T. 7 cm</t>
  </si>
  <si>
    <t>Poer pondasi &amp; sloof :</t>
  </si>
  <si>
    <t>Poer PC-1, 50 x 50 x 50 cm</t>
  </si>
  <si>
    <t>Poer PC-1A, 100 x 90 x 60 cm</t>
  </si>
  <si>
    <t>Poer PC-1B, 50 x 50 x 60 cm</t>
  </si>
  <si>
    <t>Poer PC-1S, 60 x 60 x 50 cm</t>
  </si>
  <si>
    <t>Poer PC-2, 110 x 50 x 50 cm</t>
  </si>
  <si>
    <t>Poer PC-2A, 120 x 90 x 60 cm</t>
  </si>
  <si>
    <t>Poer PC-3, 110 x 105 x 50 cm</t>
  </si>
  <si>
    <t>Poer PC-3B, 140 x 110 x 60 cm</t>
  </si>
  <si>
    <t>Poer PC-4, 110 x 110 x 55 cm</t>
  </si>
  <si>
    <t>Poer PC-4A, 150 x 110 x 60 cm</t>
  </si>
  <si>
    <t>Poer PC-4S, 340 x 220 x 75 cm</t>
  </si>
  <si>
    <t>Poer PC-5, 135 x 135 x 60 cm</t>
  </si>
  <si>
    <t>Poer PC-5A, (145x105+150x60) x 55 cm</t>
  </si>
  <si>
    <t>Poer PC-6, 170 x 170 x 60 cm</t>
  </si>
  <si>
    <t>Poer PC-6 A</t>
  </si>
  <si>
    <t>Poer PC-16, 270 x 270 x 60 cm</t>
  </si>
  <si>
    <t>Sloof TB23-1, 20 x 30 cm</t>
  </si>
  <si>
    <t>Sloof TB24-1, 20 x 40 cm</t>
  </si>
  <si>
    <t>Sloof TB245-1, 20 x 45 cm</t>
  </si>
  <si>
    <t>Sloof TB245-2, 20 x 45 cm</t>
  </si>
  <si>
    <t>Sloof TB25-1, 20 x 50 cm</t>
  </si>
  <si>
    <t>Sloof TB25-2, 20 x 50 cm</t>
  </si>
  <si>
    <t>Sloof TB25-5, 20 x 50 cm</t>
  </si>
  <si>
    <t>Sloof TB35-1, 30 x 50 cm</t>
  </si>
  <si>
    <t>Sloof TB35-2, 30 x 50 cm</t>
  </si>
  <si>
    <t>Sloof TB35-3, 30 x 50 cm</t>
  </si>
  <si>
    <t>Sloof TB46-1, 40 x 60 cm</t>
  </si>
  <si>
    <t>Sloof S-1, 20 x 50 cm</t>
  </si>
  <si>
    <t>Sloof S-2, 30 x 50 cm</t>
  </si>
  <si>
    <t>Retaining Wall T 17 cm</t>
  </si>
  <si>
    <t>Retaining Wall T 20 cm</t>
  </si>
  <si>
    <t>Plat lajur Retaining Wall T 20 cm</t>
  </si>
  <si>
    <t>Kolom struktur beton :</t>
  </si>
  <si>
    <t>Kolom K16, 17 x 60 cm</t>
  </si>
  <si>
    <t>Kolom K23, 20 x 30 cm</t>
  </si>
  <si>
    <t>Kolom K25, 20 x 50 cm</t>
  </si>
  <si>
    <t>Kolom K26, 20 x 60 cm</t>
  </si>
  <si>
    <t>Kolom K28, 20 x 80 cm</t>
  </si>
  <si>
    <t>Kolom K46, 40 x 60 cm</t>
  </si>
  <si>
    <t>Kolom K66-1, 60 x 60 cm</t>
  </si>
  <si>
    <t>Kolom K66-2, 60 x 60 cm</t>
  </si>
  <si>
    <t>Kolom KL176, 17 x 60 x 60 cm</t>
  </si>
  <si>
    <t>Kolom KL178, 17 x 80 x 80 cm</t>
  </si>
  <si>
    <t>Kolom KL17813, 17 x 80 x 130 cm</t>
  </si>
  <si>
    <t>Kolom KL25, 20 x 50 x 50 cm</t>
  </si>
  <si>
    <t>Kolom KL50, 17 x 50 x 50 cm</t>
  </si>
  <si>
    <t>Kolom KT50, 17 x 50 x 50 cm</t>
  </si>
  <si>
    <t>Kolom SW-1, 20 x 225 cm</t>
  </si>
  <si>
    <t>Kolom praktis beton KP, 17 x 17 cm</t>
  </si>
  <si>
    <t>Sabuk beton / balok latai, 17 x 20 cm</t>
  </si>
  <si>
    <t>Sloof praktis lantai Basement, 17 x 25 cm</t>
  </si>
  <si>
    <t>Balok Gantung pintu/jendela besar 17 x 40</t>
  </si>
  <si>
    <t>Rabatan lantai beton bertulang 15 cm (SB)</t>
  </si>
  <si>
    <t>Tangga Utama</t>
  </si>
  <si>
    <t>Tangga Servis</t>
  </si>
  <si>
    <t>V</t>
  </si>
  <si>
    <t>TOTAL PEKERJAAN</t>
  </si>
  <si>
    <t>RETENSI 10%</t>
  </si>
  <si>
    <t>YANG DIBAYARKAN SAMPAI MINGGU INI</t>
  </si>
  <si>
    <t>YANG DIBAYARKAN SAMPAI MINGGU KEMAREN</t>
  </si>
  <si>
    <t>KAS BON RETENSI</t>
  </si>
  <si>
    <t>SISA PEMBAYARAN MINGGU INI</t>
  </si>
  <si>
    <t>Dibuat Oleh:</t>
  </si>
  <si>
    <t>Diperiksa Oleh:</t>
  </si>
  <si>
    <t>Mengetahui:</t>
  </si>
  <si>
    <t>(H. Kholik)</t>
  </si>
  <si>
    <t>(Khairun n.)</t>
  </si>
  <si>
    <t>(Saiful M.)</t>
  </si>
  <si>
    <t>MK,</t>
  </si>
  <si>
    <t>Supervisor</t>
  </si>
  <si>
    <t>(Benedict)</t>
  </si>
  <si>
    <t>(Agus Hakim)</t>
  </si>
  <si>
    <t>Surabaya,</t>
  </si>
  <si>
    <t>(Wilson H.)</t>
  </si>
  <si>
    <t>Pekerjaan Beton Lantai 1  (+3.30 m dari Basement)</t>
  </si>
  <si>
    <t>Balok struktur beton Lt. 1 :</t>
  </si>
  <si>
    <t>Balok B1545-1, 15 x 45 cm</t>
  </si>
  <si>
    <t>Balok B23-1, 20 x 30 cm</t>
  </si>
  <si>
    <t>Balok B24-1, 20 x 40 cm</t>
  </si>
  <si>
    <t>Balok B24-2, 20 x 40 cm</t>
  </si>
  <si>
    <t>Balok B24-2a, 20 x 40 cm</t>
  </si>
  <si>
    <t>Balok B24-4, 20 x 40 cm</t>
  </si>
  <si>
    <t>Balok B245-1, 20 x 45 cm</t>
  </si>
  <si>
    <t>Balok B245-1a, 20 x 45 cm</t>
  </si>
  <si>
    <t>Balok CL245-1, 20 x 45 cm</t>
  </si>
  <si>
    <t>Balok B25-1, 20 x 50 cm</t>
  </si>
  <si>
    <t>Balok B25-1a, 20 x 50 cm</t>
  </si>
  <si>
    <t>Balok B25-2, 20 x 50 cm</t>
  </si>
  <si>
    <t>Balok B25-3, 20 x 50 cm</t>
  </si>
  <si>
    <t>Balok B25-4, 20 x 50 cm</t>
  </si>
  <si>
    <t>Balok B255-1, 25 x 50 cm</t>
  </si>
  <si>
    <t>Balok B255-2, 25 x 50 cm</t>
  </si>
  <si>
    <t>Balok B35-1, 30 x 50 cm</t>
  </si>
  <si>
    <t>Balok B36-1, 30 x 60 cm</t>
  </si>
  <si>
    <t>Balok B36-2, 30 x 60 cm</t>
  </si>
  <si>
    <t>Balok B46-1, 40 x 60 cm</t>
  </si>
  <si>
    <t>Balok B46-2, 40 x 60 cm</t>
  </si>
  <si>
    <t>Balok B46-3, 40 x 60 cm</t>
  </si>
  <si>
    <t>Balok B48-1, 40 x 80 cm</t>
  </si>
  <si>
    <t>Rabatan lantai beton T. 15 cm</t>
  </si>
  <si>
    <t>Plat lantai beton T. 13 cm</t>
  </si>
  <si>
    <t>Plat lantai beton T. 25 cm</t>
  </si>
  <si>
    <t>Lisplank void</t>
  </si>
  <si>
    <t>Kolom K14, 17 x 40 cm</t>
  </si>
  <si>
    <t>Kolom K15, 17 x 50 cm</t>
  </si>
  <si>
    <t>Kolom K18, 17 x 80 cm</t>
  </si>
  <si>
    <t>Kolom KL136, 17 x 30 x 60 cm</t>
  </si>
  <si>
    <t>Kolom KL146, 17 x 40 x 60 cm</t>
  </si>
  <si>
    <t>Kolom KL40, 17 x 40x 40 cm</t>
  </si>
  <si>
    <t>Kolom KL60, 17 x 60 x 60 cm</t>
  </si>
  <si>
    <t>Tangga entrance</t>
  </si>
  <si>
    <t xml:space="preserve">                                Menyetujui,</t>
  </si>
  <si>
    <t>Check volume cor sloof dan poer</t>
  </si>
  <si>
    <t>(pekerjaan yang tidak masuk dalam kontrak)*</t>
  </si>
  <si>
    <t>a.</t>
  </si>
  <si>
    <t xml:space="preserve">b. </t>
  </si>
  <si>
    <t>Plester + Acian dinding bata</t>
  </si>
  <si>
    <t>Pasangan dinding bata 1 Bata di bawah sloof praktis</t>
  </si>
  <si>
    <r>
      <t>m</t>
    </r>
    <r>
      <rPr>
        <vertAlign val="superscript"/>
        <sz val="11"/>
        <color rgb="FFFF0000"/>
        <rFont val="Arial"/>
        <family val="2"/>
      </rPr>
      <t>2</t>
    </r>
  </si>
  <si>
    <t>TDK ACC</t>
  </si>
  <si>
    <t>Note :</t>
  </si>
  <si>
    <t xml:space="preserve">Pekerjaan Instalasi Air Kotor </t>
  </si>
  <si>
    <t>Pipa PVC 8" AW (Wavin) (Gali+bantalan+urug)</t>
  </si>
  <si>
    <t>Pipa PVC 6" AW (Wavin) (Gali+bantalan+urug)</t>
  </si>
  <si>
    <t>Pipa PVC 4" AW (Wavin) (Gali+bantalan+urug)</t>
  </si>
  <si>
    <t>Pipa PVC 3" AW (Wavin) (kawat ayam+cor)</t>
  </si>
  <si>
    <t>Pipa PVC 2.5" AW (Wavin) (kawat ayam+cor)</t>
  </si>
  <si>
    <t>Pipa PVC 2,0" AW (Wavin) (kawat ayam+cor)</t>
  </si>
  <si>
    <t>unit</t>
  </si>
  <si>
    <t>Septic tank sistim bakteri</t>
  </si>
  <si>
    <t>XIII</t>
  </si>
  <si>
    <t>Tandon air bawah 9 m3</t>
  </si>
  <si>
    <r>
      <t>m</t>
    </r>
    <r>
      <rPr>
        <vertAlign val="superscript"/>
        <sz val="11"/>
        <color theme="1"/>
        <rFont val="Arial"/>
        <family val="2"/>
      </rPr>
      <t>3</t>
    </r>
  </si>
  <si>
    <r>
      <t>m</t>
    </r>
    <r>
      <rPr>
        <vertAlign val="superscript"/>
        <sz val="11"/>
        <color theme="1"/>
        <rFont val="Arial"/>
        <family val="2"/>
      </rPr>
      <t>2</t>
    </r>
  </si>
  <si>
    <t>19 Agustus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</si>
</sst>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_(* #,##0_);_(* \(#,##0\);_(* &quot;-&quot;_);_(@_)"/>
    <numFmt numFmtId="165" formatCode="_(* #,##0.00_);_(* \(#,##0.00\);_(* &quot;-&quot;??_);_(@_)"/>
    <numFmt numFmtId="166" formatCode="[$-409]d\-mmm\-yyyy;@"/>
    <numFmt numFmtId="167" formatCode="_(* #,##0.00_);_(* \(#,##0.00\);_(* &quot;-&quot;_);_(@_)"/>
    <numFmt numFmtId="168" formatCode="_(* #,##0_);_(* \(#,##0\);_(* &quot;-&quot;??_);_(@_)"/>
    <numFmt numFmtId="169" formatCode="_-* #,##0_-;\-* #,##0_-;_-* &quot;-&quot;??_-;_-@_-"/>
  </numFmts>
  <fonts count="23" x14ac:knownFonts="1">
    <font>
      <sz val="10"/>
      <name val="Arial"/>
    </font>
    <font>
      <sz val="11"/>
      <color indexed="8"/>
      <name val="Calibri"/>
      <family val="2"/>
    </font>
    <font>
      <b/>
      <sz val="16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sz val="12"/>
      <name val="Arial"/>
      <family val="2"/>
    </font>
    <font>
      <b/>
      <i/>
      <sz val="11"/>
      <name val="Arial"/>
      <family val="2"/>
    </font>
    <font>
      <sz val="10"/>
      <name val="Arial"/>
      <family val="2"/>
    </font>
    <font>
      <vertAlign val="superscript"/>
      <sz val="11"/>
      <name val="Arial"/>
      <family val="2"/>
    </font>
    <font>
      <sz val="11"/>
      <color rgb="FFFF0000"/>
      <name val="Arial"/>
      <family val="2"/>
    </font>
    <font>
      <sz val="10"/>
      <color rgb="FFFF0000"/>
      <name val="Arial"/>
      <family val="2"/>
    </font>
    <font>
      <vertAlign val="superscript"/>
      <sz val="11"/>
      <color rgb="FFFF0000"/>
      <name val="Arial"/>
      <family val="2"/>
    </font>
    <font>
      <sz val="10"/>
      <name val="Arial"/>
      <family val="2"/>
    </font>
    <font>
      <sz val="10"/>
      <color theme="0"/>
      <name val="Arial"/>
      <family val="2"/>
    </font>
    <font>
      <b/>
      <sz val="11"/>
      <color rgb="FFFF0000"/>
      <name val="Arial"/>
      <family val="2"/>
    </font>
    <font>
      <b/>
      <sz val="10"/>
      <color rgb="FFFF0000"/>
      <name val="Arial"/>
      <family val="2"/>
    </font>
    <font>
      <sz val="10"/>
      <color theme="1"/>
      <name val="Arial"/>
      <family val="2"/>
    </font>
    <font>
      <i/>
      <sz val="10"/>
      <name val="Arial"/>
      <family val="2"/>
    </font>
    <font>
      <b/>
      <sz val="10"/>
      <name val="Arial"/>
      <family val="2"/>
    </font>
    <font>
      <b/>
      <i/>
      <sz val="11"/>
      <color theme="1"/>
      <name val="Arial"/>
      <family val="2"/>
    </font>
    <font>
      <sz val="11"/>
      <color theme="1"/>
      <name val="Arial"/>
      <family val="2"/>
    </font>
    <font>
      <vertAlign val="superscript"/>
      <sz val="11"/>
      <color theme="1"/>
      <name val="Arial"/>
      <family val="2"/>
    </font>
    <font>
      <i/>
      <sz val="11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/>
      <top style="hair">
        <color indexed="64"/>
      </top>
      <bottom style="double">
        <color indexed="64"/>
      </bottom>
      <diagonal/>
    </border>
    <border>
      <left/>
      <right style="thin">
        <color indexed="64"/>
      </right>
      <top style="hair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auto="1"/>
      </bottom>
      <diagonal/>
    </border>
  </borders>
  <cellStyleXfs count="5">
    <xf numFmtId="0" fontId="0" fillId="0" borderId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0" fontId="1" fillId="0" borderId="0"/>
    <xf numFmtId="9" fontId="12" fillId="0" borderId="0" applyFont="0" applyFill="0" applyBorder="0" applyAlignment="0" applyProtection="0"/>
  </cellStyleXfs>
  <cellXfs count="194">
    <xf numFmtId="0" fontId="0" fillId="0" borderId="0" xfId="0"/>
    <xf numFmtId="0" fontId="2" fillId="0" borderId="0" xfId="3" applyFont="1" applyFill="1" applyAlignment="1">
      <alignment horizontal="centerContinuous"/>
    </xf>
    <xf numFmtId="0" fontId="3" fillId="0" borderId="0" xfId="3" applyFont="1" applyFill="1" applyAlignment="1">
      <alignment horizontal="centerContinuous"/>
    </xf>
    <xf numFmtId="0" fontId="4" fillId="0" borderId="0" xfId="3" applyFont="1" applyFill="1"/>
    <xf numFmtId="0" fontId="5" fillId="0" borderId="0" xfId="3" applyFont="1" applyFill="1"/>
    <xf numFmtId="166" fontId="5" fillId="0" borderId="0" xfId="3" quotePrefix="1" applyNumberFormat="1" applyFont="1" applyFill="1" applyAlignment="1">
      <alignment horizontal="left"/>
    </xf>
    <xf numFmtId="0" fontId="4" fillId="0" borderId="0" xfId="3" applyFont="1" applyFill="1" applyAlignment="1">
      <alignment horizontal="right"/>
    </xf>
    <xf numFmtId="0" fontId="4" fillId="0" borderId="0" xfId="3" applyFont="1" applyFill="1" applyAlignment="1">
      <alignment horizontal="center"/>
    </xf>
    <xf numFmtId="0" fontId="4" fillId="0" borderId="0" xfId="3" quotePrefix="1" applyFont="1" applyFill="1"/>
    <xf numFmtId="0" fontId="3" fillId="0" borderId="1" xfId="3" applyFont="1" applyFill="1" applyBorder="1" applyAlignment="1">
      <alignment horizontal="center"/>
    </xf>
    <xf numFmtId="9" fontId="3" fillId="0" borderId="1" xfId="3" applyNumberFormat="1" applyFont="1" applyFill="1" applyBorder="1" applyAlignment="1">
      <alignment horizontal="center"/>
    </xf>
    <xf numFmtId="0" fontId="3" fillId="0" borderId="2" xfId="3" applyFont="1" applyFill="1" applyBorder="1" applyAlignment="1">
      <alignment horizontal="center"/>
    </xf>
    <xf numFmtId="0" fontId="3" fillId="0" borderId="3" xfId="3" applyFont="1" applyFill="1" applyBorder="1" applyAlignment="1">
      <alignment horizontal="center"/>
    </xf>
    <xf numFmtId="0" fontId="3" fillId="0" borderId="4" xfId="3" applyFont="1" applyFill="1" applyBorder="1"/>
    <xf numFmtId="0" fontId="4" fillId="0" borderId="5" xfId="3" applyFont="1" applyFill="1" applyBorder="1"/>
    <xf numFmtId="0" fontId="4" fillId="0" borderId="6" xfId="3" applyFont="1" applyFill="1" applyBorder="1"/>
    <xf numFmtId="0" fontId="4" fillId="0" borderId="3" xfId="3" applyFont="1" applyFill="1" applyBorder="1"/>
    <xf numFmtId="0" fontId="3" fillId="0" borderId="7" xfId="3" applyFont="1" applyFill="1" applyBorder="1" applyAlignment="1">
      <alignment horizontal="center"/>
    </xf>
    <xf numFmtId="0" fontId="6" fillId="0" borderId="8" xfId="3" applyFont="1" applyFill="1" applyBorder="1" applyAlignment="1">
      <alignment horizontal="center"/>
    </xf>
    <xf numFmtId="0" fontId="6" fillId="0" borderId="9" xfId="3" applyFont="1" applyFill="1" applyBorder="1"/>
    <xf numFmtId="0" fontId="4" fillId="0" borderId="10" xfId="3" applyFont="1" applyFill="1" applyBorder="1"/>
    <xf numFmtId="0" fontId="4" fillId="0" borderId="11" xfId="3" applyFont="1" applyFill="1" applyBorder="1"/>
    <xf numFmtId="0" fontId="4" fillId="0" borderId="8" xfId="3" applyFont="1" applyFill="1" applyBorder="1"/>
    <xf numFmtId="0" fontId="3" fillId="0" borderId="12" xfId="3" applyFont="1" applyFill="1" applyBorder="1" applyAlignment="1">
      <alignment horizontal="center"/>
    </xf>
    <xf numFmtId="0" fontId="3" fillId="0" borderId="13" xfId="3" applyFont="1" applyFill="1" applyBorder="1"/>
    <xf numFmtId="0" fontId="4" fillId="0" borderId="14" xfId="3" applyFont="1" applyFill="1" applyBorder="1"/>
    <xf numFmtId="0" fontId="4" fillId="0" borderId="15" xfId="3" applyFont="1" applyFill="1" applyBorder="1"/>
    <xf numFmtId="0" fontId="4" fillId="0" borderId="12" xfId="3" applyFont="1" applyFill="1" applyBorder="1"/>
    <xf numFmtId="164" fontId="4" fillId="0" borderId="12" xfId="2" applyFont="1" applyFill="1" applyBorder="1"/>
    <xf numFmtId="164" fontId="3" fillId="0" borderId="12" xfId="2" applyFont="1" applyFill="1" applyBorder="1"/>
    <xf numFmtId="0" fontId="4" fillId="0" borderId="3" xfId="3" applyFont="1" applyFill="1" applyBorder="1" applyAlignment="1">
      <alignment horizontal="center"/>
    </xf>
    <xf numFmtId="0" fontId="4" fillId="0" borderId="4" xfId="3" applyFont="1" applyFill="1" applyBorder="1"/>
    <xf numFmtId="167" fontId="4" fillId="0" borderId="3" xfId="2" applyNumberFormat="1" applyFont="1" applyFill="1" applyBorder="1"/>
    <xf numFmtId="0" fontId="4" fillId="0" borderId="12" xfId="3" applyFont="1" applyFill="1" applyBorder="1" applyAlignment="1">
      <alignment horizontal="center"/>
    </xf>
    <xf numFmtId="9" fontId="4" fillId="0" borderId="3" xfId="2" applyNumberFormat="1" applyFont="1" applyFill="1" applyBorder="1"/>
    <xf numFmtId="164" fontId="4" fillId="0" borderId="3" xfId="2" applyFont="1" applyFill="1" applyBorder="1"/>
    <xf numFmtId="0" fontId="9" fillId="0" borderId="3" xfId="3" applyFont="1" applyFill="1" applyBorder="1" applyAlignment="1">
      <alignment horizontal="center"/>
    </xf>
    <xf numFmtId="0" fontId="9" fillId="0" borderId="5" xfId="3" applyFont="1" applyFill="1" applyBorder="1"/>
    <xf numFmtId="0" fontId="9" fillId="0" borderId="6" xfId="3" applyFont="1" applyFill="1" applyBorder="1"/>
    <xf numFmtId="0" fontId="4" fillId="0" borderId="13" xfId="3" applyFont="1" applyFill="1" applyBorder="1"/>
    <xf numFmtId="167" fontId="4" fillId="0" borderId="12" xfId="2" applyNumberFormat="1" applyFont="1" applyFill="1" applyBorder="1"/>
    <xf numFmtId="0" fontId="4" fillId="0" borderId="6" xfId="0" applyFont="1" applyFill="1" applyBorder="1"/>
    <xf numFmtId="0" fontId="4" fillId="0" borderId="3" xfId="0" applyFont="1" applyFill="1" applyBorder="1"/>
    <xf numFmtId="4" fontId="4" fillId="0" borderId="4" xfId="0" applyNumberFormat="1" applyFont="1" applyFill="1" applyBorder="1"/>
    <xf numFmtId="0" fontId="4" fillId="0" borderId="5" xfId="0" applyFont="1" applyFill="1" applyBorder="1"/>
    <xf numFmtId="0" fontId="4" fillId="0" borderId="15" xfId="0" applyFont="1" applyFill="1" applyBorder="1"/>
    <xf numFmtId="0" fontId="4" fillId="0" borderId="7" xfId="3" applyFont="1" applyFill="1" applyBorder="1"/>
    <xf numFmtId="164" fontId="4" fillId="0" borderId="7" xfId="2" applyFont="1" applyFill="1" applyBorder="1"/>
    <xf numFmtId="165" fontId="4" fillId="0" borderId="3" xfId="1" applyFont="1" applyFill="1" applyBorder="1"/>
    <xf numFmtId="165" fontId="4" fillId="0" borderId="12" xfId="1" applyFont="1" applyFill="1" applyBorder="1"/>
    <xf numFmtId="0" fontId="4" fillId="0" borderId="2" xfId="3" applyFont="1" applyFill="1" applyBorder="1" applyAlignment="1">
      <alignment horizontal="center"/>
    </xf>
    <xf numFmtId="0" fontId="4" fillId="0" borderId="17" xfId="3" applyFont="1" applyFill="1" applyBorder="1"/>
    <xf numFmtId="0" fontId="4" fillId="0" borderId="18" xfId="3" applyFont="1" applyFill="1" applyBorder="1"/>
    <xf numFmtId="0" fontId="4" fillId="0" borderId="21" xfId="3" applyFont="1" applyFill="1" applyBorder="1" applyAlignment="1">
      <alignment horizontal="center"/>
    </xf>
    <xf numFmtId="0" fontId="4" fillId="0" borderId="23" xfId="3" applyFont="1" applyFill="1" applyBorder="1" applyAlignment="1">
      <alignment horizontal="center"/>
    </xf>
    <xf numFmtId="0" fontId="4" fillId="0" borderId="24" xfId="3" applyFont="1" applyFill="1" applyBorder="1" applyAlignment="1">
      <alignment horizontal="center"/>
    </xf>
    <xf numFmtId="0" fontId="7" fillId="0" borderId="0" xfId="0" applyFont="1" applyFill="1"/>
    <xf numFmtId="0" fontId="7" fillId="0" borderId="4" xfId="0" applyFont="1" applyFill="1" applyBorder="1"/>
    <xf numFmtId="0" fontId="10" fillId="0" borderId="0" xfId="0" applyFont="1" applyFill="1"/>
    <xf numFmtId="3" fontId="4" fillId="0" borderId="3" xfId="0" applyNumberFormat="1" applyFont="1" applyFill="1" applyBorder="1"/>
    <xf numFmtId="168" fontId="3" fillId="0" borderId="8" xfId="1" applyNumberFormat="1" applyFont="1" applyFill="1" applyBorder="1"/>
    <xf numFmtId="0" fontId="4" fillId="0" borderId="19" xfId="3" applyFont="1" applyFill="1" applyBorder="1"/>
    <xf numFmtId="0" fontId="4" fillId="0" borderId="20" xfId="3" applyFont="1" applyFill="1" applyBorder="1"/>
    <xf numFmtId="0" fontId="4" fillId="0" borderId="22" xfId="3" applyFont="1" applyFill="1" applyBorder="1"/>
    <xf numFmtId="0" fontId="4" fillId="0" borderId="0" xfId="3" applyFont="1" applyFill="1" applyBorder="1"/>
    <xf numFmtId="168" fontId="3" fillId="0" borderId="12" xfId="1" applyNumberFormat="1" applyFont="1" applyFill="1" applyBorder="1"/>
    <xf numFmtId="168" fontId="4" fillId="0" borderId="3" xfId="0" applyNumberFormat="1" applyFont="1" applyFill="1" applyBorder="1"/>
    <xf numFmtId="0" fontId="4" fillId="0" borderId="0" xfId="0" applyFont="1" applyFill="1"/>
    <xf numFmtId="168" fontId="4" fillId="0" borderId="8" xfId="3" applyNumberFormat="1" applyFont="1" applyFill="1" applyBorder="1"/>
    <xf numFmtId="0" fontId="4" fillId="0" borderId="25" xfId="3" applyFont="1" applyFill="1" applyBorder="1"/>
    <xf numFmtId="0" fontId="4" fillId="0" borderId="26" xfId="3" applyFont="1" applyFill="1" applyBorder="1"/>
    <xf numFmtId="9" fontId="7" fillId="0" borderId="0" xfId="4" applyFont="1" applyFill="1"/>
    <xf numFmtId="0" fontId="7" fillId="0" borderId="23" xfId="0" applyFont="1" applyFill="1" applyBorder="1"/>
    <xf numFmtId="0" fontId="7" fillId="0" borderId="13" xfId="0" applyFont="1" applyFill="1" applyBorder="1"/>
    <xf numFmtId="0" fontId="6" fillId="0" borderId="8" xfId="3" applyFont="1" applyFill="1" applyBorder="1" applyAlignment="1">
      <alignment horizontal="center" vertical="center"/>
    </xf>
    <xf numFmtId="0" fontId="6" fillId="0" borderId="9" xfId="3" applyFont="1" applyFill="1" applyBorder="1" applyAlignment="1">
      <alignment vertical="center"/>
    </xf>
    <xf numFmtId="0" fontId="4" fillId="0" borderId="10" xfId="3" applyFont="1" applyFill="1" applyBorder="1" applyAlignment="1">
      <alignment vertical="center"/>
    </xf>
    <xf numFmtId="0" fontId="4" fillId="0" borderId="11" xfId="3" applyFont="1" applyFill="1" applyBorder="1" applyAlignment="1">
      <alignment vertical="center"/>
    </xf>
    <xf numFmtId="0" fontId="4" fillId="0" borderId="8" xfId="3" applyFont="1" applyFill="1" applyBorder="1" applyAlignment="1">
      <alignment vertical="center"/>
    </xf>
    <xf numFmtId="164" fontId="4" fillId="0" borderId="8" xfId="2" applyFont="1" applyFill="1" applyBorder="1" applyAlignment="1">
      <alignment vertical="center"/>
    </xf>
    <xf numFmtId="0" fontId="7" fillId="0" borderId="0" xfId="0" applyFont="1" applyFill="1" applyAlignment="1">
      <alignment vertical="center"/>
    </xf>
    <xf numFmtId="164" fontId="7" fillId="2" borderId="0" xfId="2" applyFont="1" applyFill="1"/>
    <xf numFmtId="168" fontId="3" fillId="0" borderId="16" xfId="0" applyNumberFormat="1" applyFont="1" applyFill="1" applyBorder="1"/>
    <xf numFmtId="168" fontId="7" fillId="0" borderId="0" xfId="0" applyNumberFormat="1" applyFont="1" applyFill="1"/>
    <xf numFmtId="9" fontId="13" fillId="0" borderId="0" xfId="4" applyFont="1" applyFill="1"/>
    <xf numFmtId="0" fontId="9" fillId="2" borderId="12" xfId="0" applyFont="1" applyFill="1" applyBorder="1"/>
    <xf numFmtId="0" fontId="14" fillId="2" borderId="13" xfId="0" applyFont="1" applyFill="1" applyBorder="1"/>
    <xf numFmtId="0" fontId="14" fillId="2" borderId="14" xfId="0" applyFont="1" applyFill="1" applyBorder="1"/>
    <xf numFmtId="0" fontId="14" fillId="2" borderId="15" xfId="3" applyFont="1" applyFill="1" applyBorder="1"/>
    <xf numFmtId="4" fontId="4" fillId="2" borderId="4" xfId="0" applyNumberFormat="1" applyFont="1" applyFill="1" applyBorder="1"/>
    <xf numFmtId="0" fontId="4" fillId="2" borderId="3" xfId="3" applyFont="1" applyFill="1" applyBorder="1" applyAlignment="1">
      <alignment horizontal="center"/>
    </xf>
    <xf numFmtId="164" fontId="4" fillId="2" borderId="3" xfId="2" applyFont="1" applyFill="1" applyBorder="1"/>
    <xf numFmtId="9" fontId="4" fillId="2" borderId="3" xfId="2" applyNumberFormat="1" applyFont="1" applyFill="1" applyBorder="1"/>
    <xf numFmtId="0" fontId="9" fillId="2" borderId="13" xfId="0" applyFont="1" applyFill="1" applyBorder="1"/>
    <xf numFmtId="0" fontId="9" fillId="2" borderId="14" xfId="0" applyFont="1" applyFill="1" applyBorder="1"/>
    <xf numFmtId="0" fontId="9" fillId="2" borderId="15" xfId="3" applyFont="1" applyFill="1" applyBorder="1"/>
    <xf numFmtId="4" fontId="9" fillId="2" borderId="4" xfId="0" applyNumberFormat="1" applyFont="1" applyFill="1" applyBorder="1"/>
    <xf numFmtId="0" fontId="9" fillId="2" borderId="3" xfId="3" applyFont="1" applyFill="1" applyBorder="1" applyAlignment="1">
      <alignment horizontal="center"/>
    </xf>
    <xf numFmtId="164" fontId="9" fillId="2" borderId="3" xfId="2" applyFont="1" applyFill="1" applyBorder="1"/>
    <xf numFmtId="9" fontId="9" fillId="2" borderId="3" xfId="2" applyNumberFormat="1" applyFont="1" applyFill="1" applyBorder="1"/>
    <xf numFmtId="9" fontId="7" fillId="2" borderId="0" xfId="4" applyFont="1" applyFill="1"/>
    <xf numFmtId="9" fontId="10" fillId="2" borderId="0" xfId="4" applyFont="1" applyFill="1"/>
    <xf numFmtId="9" fontId="4" fillId="3" borderId="3" xfId="2" applyNumberFormat="1" applyFont="1" applyFill="1" applyBorder="1"/>
    <xf numFmtId="164" fontId="4" fillId="3" borderId="3" xfId="2" applyFont="1" applyFill="1" applyBorder="1"/>
    <xf numFmtId="169" fontId="10" fillId="2" borderId="0" xfId="0" applyNumberFormat="1" applyFont="1" applyFill="1"/>
    <xf numFmtId="0" fontId="7" fillId="2" borderId="0" xfId="0" applyFont="1" applyFill="1"/>
    <xf numFmtId="169" fontId="15" fillId="2" borderId="0" xfId="0" applyNumberFormat="1" applyFont="1" applyFill="1"/>
    <xf numFmtId="0" fontId="9" fillId="0" borderId="4" xfId="3" applyFont="1" applyFill="1" applyBorder="1"/>
    <xf numFmtId="167" fontId="9" fillId="0" borderId="3" xfId="2" applyNumberFormat="1" applyFont="1" applyFill="1" applyBorder="1"/>
    <xf numFmtId="0" fontId="9" fillId="0" borderId="5" xfId="0" applyFont="1" applyFill="1" applyBorder="1" applyAlignment="1">
      <alignment horizontal="center"/>
    </xf>
    <xf numFmtId="164" fontId="9" fillId="0" borderId="3" xfId="2" applyFont="1" applyFill="1" applyBorder="1" applyAlignment="1">
      <alignment horizontal="right"/>
    </xf>
    <xf numFmtId="0" fontId="0" fillId="0" borderId="5" xfId="0" applyBorder="1"/>
    <xf numFmtId="0" fontId="0" fillId="0" borderId="4" xfId="0" applyBorder="1"/>
    <xf numFmtId="0" fontId="7" fillId="0" borderId="3" xfId="0" applyFont="1" applyBorder="1"/>
    <xf numFmtId="0" fontId="0" fillId="0" borderId="3" xfId="0" applyBorder="1"/>
    <xf numFmtId="0" fontId="17" fillId="0" borderId="4" xfId="0" applyFont="1" applyBorder="1"/>
    <xf numFmtId="0" fontId="17" fillId="0" borderId="3" xfId="0" applyFont="1" applyBorder="1"/>
    <xf numFmtId="4" fontId="7" fillId="0" borderId="5" xfId="0" applyNumberFormat="1" applyFont="1" applyBorder="1"/>
    <xf numFmtId="0" fontId="0" fillId="0" borderId="27" xfId="0" applyBorder="1"/>
    <xf numFmtId="0" fontId="7" fillId="0" borderId="16" xfId="0" applyFont="1" applyBorder="1"/>
    <xf numFmtId="164" fontId="3" fillId="0" borderId="7" xfId="2" applyFont="1" applyFill="1" applyBorder="1"/>
    <xf numFmtId="9" fontId="4" fillId="0" borderId="12" xfId="2" applyNumberFormat="1" applyFont="1" applyFill="1" applyBorder="1"/>
    <xf numFmtId="0" fontId="10" fillId="0" borderId="4" xfId="0" applyFont="1" applyBorder="1"/>
    <xf numFmtId="0" fontId="10" fillId="0" borderId="3" xfId="0" applyFont="1" applyBorder="1"/>
    <xf numFmtId="0" fontId="10" fillId="0" borderId="0" xfId="0" applyFont="1"/>
    <xf numFmtId="3" fontId="0" fillId="0" borderId="28" xfId="0" applyNumberFormat="1" applyBorder="1"/>
    <xf numFmtId="164" fontId="18" fillId="0" borderId="28" xfId="2" applyFont="1" applyBorder="1"/>
    <xf numFmtId="0" fontId="0" fillId="0" borderId="28" xfId="0" applyBorder="1"/>
    <xf numFmtId="4" fontId="10" fillId="0" borderId="28" xfId="0" applyNumberFormat="1" applyFont="1" applyBorder="1"/>
    <xf numFmtId="0" fontId="10" fillId="0" borderId="28" xfId="0" applyFont="1" applyBorder="1"/>
    <xf numFmtId="3" fontId="10" fillId="0" borderId="28" xfId="0" applyNumberFormat="1" applyFont="1" applyBorder="1"/>
    <xf numFmtId="4" fontId="7" fillId="0" borderId="28" xfId="0" applyNumberFormat="1" applyFont="1" applyBorder="1"/>
    <xf numFmtId="9" fontId="4" fillId="0" borderId="28" xfId="2" applyNumberFormat="1" applyFont="1" applyFill="1" applyBorder="1"/>
    <xf numFmtId="164" fontId="4" fillId="0" borderId="28" xfId="2" applyFont="1" applyFill="1" applyBorder="1"/>
    <xf numFmtId="168" fontId="7" fillId="0" borderId="28" xfId="1" applyNumberFormat="1" applyBorder="1" applyAlignment="1">
      <alignment horizontal="right"/>
    </xf>
    <xf numFmtId="165" fontId="4" fillId="0" borderId="28" xfId="1" applyFont="1" applyFill="1" applyBorder="1"/>
    <xf numFmtId="0" fontId="4" fillId="0" borderId="28" xfId="3" applyFont="1" applyFill="1" applyBorder="1" applyAlignment="1">
      <alignment horizontal="center"/>
    </xf>
    <xf numFmtId="0" fontId="19" fillId="0" borderId="3" xfId="3" applyFont="1" applyFill="1" applyBorder="1" applyAlignment="1">
      <alignment horizontal="center" vertical="center"/>
    </xf>
    <xf numFmtId="0" fontId="19" fillId="0" borderId="9" xfId="3" applyFont="1" applyFill="1" applyBorder="1" applyAlignment="1">
      <alignment vertical="center"/>
    </xf>
    <xf numFmtId="0" fontId="20" fillId="0" borderId="5" xfId="3" applyFont="1" applyFill="1" applyBorder="1" applyAlignment="1">
      <alignment vertical="center"/>
    </xf>
    <xf numFmtId="0" fontId="20" fillId="0" borderId="6" xfId="3" applyFont="1" applyFill="1" applyBorder="1" applyAlignment="1">
      <alignment vertical="center"/>
    </xf>
    <xf numFmtId="0" fontId="20" fillId="0" borderId="8" xfId="3" applyFont="1" applyFill="1" applyBorder="1"/>
    <xf numFmtId="0" fontId="20" fillId="0" borderId="3" xfId="3" applyFont="1" applyFill="1" applyBorder="1"/>
    <xf numFmtId="164" fontId="20" fillId="0" borderId="8" xfId="2" applyFont="1" applyFill="1" applyBorder="1"/>
    <xf numFmtId="0" fontId="16" fillId="0" borderId="0" xfId="0" applyFont="1" applyFill="1"/>
    <xf numFmtId="0" fontId="20" fillId="0" borderId="12" xfId="3" applyFont="1" applyFill="1" applyBorder="1" applyAlignment="1">
      <alignment horizontal="center"/>
    </xf>
    <xf numFmtId="0" fontId="20" fillId="0" borderId="3" xfId="0" applyFont="1" applyFill="1" applyBorder="1"/>
    <xf numFmtId="0" fontId="20" fillId="0" borderId="14" xfId="3" applyFont="1" applyFill="1" applyBorder="1"/>
    <xf numFmtId="0" fontId="20" fillId="0" borderId="15" xfId="3" applyFont="1" applyFill="1" applyBorder="1"/>
    <xf numFmtId="4" fontId="20" fillId="0" borderId="5" xfId="0" applyNumberFormat="1" applyFont="1" applyFill="1" applyBorder="1"/>
    <xf numFmtId="164" fontId="20" fillId="0" borderId="3" xfId="2" applyFont="1" applyFill="1" applyBorder="1" applyAlignment="1">
      <alignment horizontal="right"/>
    </xf>
    <xf numFmtId="9" fontId="20" fillId="0" borderId="3" xfId="2" applyNumberFormat="1" applyFont="1" applyFill="1" applyBorder="1"/>
    <xf numFmtId="164" fontId="20" fillId="0" borderId="3" xfId="2" applyFont="1" applyFill="1" applyBorder="1"/>
    <xf numFmtId="9" fontId="20" fillId="3" borderId="3" xfId="2" applyNumberFormat="1" applyFont="1" applyFill="1" applyBorder="1"/>
    <xf numFmtId="164" fontId="20" fillId="3" borderId="3" xfId="2" applyFont="1" applyFill="1" applyBorder="1"/>
    <xf numFmtId="9" fontId="16" fillId="0" borderId="0" xfId="4" applyFont="1" applyFill="1"/>
    <xf numFmtId="0" fontId="20" fillId="0" borderId="5" xfId="3" applyFont="1" applyFill="1" applyBorder="1"/>
    <xf numFmtId="0" fontId="20" fillId="0" borderId="6" xfId="3" applyFont="1" applyFill="1" applyBorder="1"/>
    <xf numFmtId="0" fontId="20" fillId="0" borderId="3" xfId="3" applyFont="1" applyFill="1" applyBorder="1" applyAlignment="1">
      <alignment horizontal="center"/>
    </xf>
    <xf numFmtId="0" fontId="20" fillId="0" borderId="13" xfId="3" applyFont="1" applyFill="1" applyBorder="1"/>
    <xf numFmtId="167" fontId="20" fillId="0" borderId="12" xfId="2" applyNumberFormat="1" applyFont="1" applyFill="1" applyBorder="1"/>
    <xf numFmtId="0" fontId="19" fillId="0" borderId="8" xfId="3" applyFont="1" applyFill="1" applyBorder="1" applyAlignment="1">
      <alignment horizontal="center" vertical="center"/>
    </xf>
    <xf numFmtId="0" fontId="20" fillId="0" borderId="10" xfId="3" applyFont="1" applyFill="1" applyBorder="1" applyAlignment="1">
      <alignment vertical="center"/>
    </xf>
    <xf numFmtId="0" fontId="20" fillId="0" borderId="4" xfId="3" applyFont="1" applyFill="1" applyBorder="1"/>
    <xf numFmtId="0" fontId="22" fillId="0" borderId="10" xfId="3" applyFont="1" applyFill="1" applyBorder="1" applyAlignment="1">
      <alignment vertical="center"/>
    </xf>
    <xf numFmtId="0" fontId="20" fillId="0" borderId="4" xfId="0" applyFont="1" applyFill="1" applyBorder="1"/>
    <xf numFmtId="0" fontId="20" fillId="0" borderId="6" xfId="0" applyFont="1" applyFill="1" applyBorder="1"/>
    <xf numFmtId="0" fontId="20" fillId="0" borderId="13" xfId="0" applyFont="1" applyFill="1" applyBorder="1"/>
    <xf numFmtId="0" fontId="20" fillId="0" borderId="15" xfId="0" applyFont="1" applyFill="1" applyBorder="1"/>
    <xf numFmtId="4" fontId="20" fillId="0" borderId="14" xfId="0" applyNumberFormat="1" applyFont="1" applyFill="1" applyBorder="1"/>
    <xf numFmtId="164" fontId="20" fillId="0" borderId="12" xfId="2" applyFont="1" applyFill="1" applyBorder="1"/>
    <xf numFmtId="0" fontId="20" fillId="0" borderId="9" xfId="0" applyFont="1" applyFill="1" applyBorder="1"/>
    <xf numFmtId="0" fontId="20" fillId="0" borderId="11" xfId="0" applyFont="1" applyFill="1" applyBorder="1"/>
    <xf numFmtId="4" fontId="20" fillId="0" borderId="10" xfId="0" applyNumberFormat="1" applyFont="1" applyFill="1" applyBorder="1"/>
    <xf numFmtId="4" fontId="20" fillId="0" borderId="4" xfId="0" applyNumberFormat="1" applyFont="1" applyFill="1" applyBorder="1"/>
    <xf numFmtId="0" fontId="20" fillId="0" borderId="5" xfId="0" applyFont="1" applyFill="1" applyBorder="1"/>
    <xf numFmtId="9" fontId="9" fillId="4" borderId="3" xfId="2" applyNumberFormat="1" applyFont="1" applyFill="1" applyBorder="1"/>
    <xf numFmtId="164" fontId="9" fillId="4" borderId="3" xfId="2" applyFont="1" applyFill="1" applyBorder="1"/>
    <xf numFmtId="9" fontId="9" fillId="4" borderId="28" xfId="2" applyNumberFormat="1" applyFont="1" applyFill="1" applyBorder="1"/>
    <xf numFmtId="164" fontId="9" fillId="4" borderId="28" xfId="2" applyFont="1" applyFill="1" applyBorder="1"/>
    <xf numFmtId="0" fontId="7" fillId="0" borderId="0" xfId="1" applyNumberFormat="1" applyFont="1" applyFill="1" applyAlignment="1">
      <alignment horizontal="right"/>
    </xf>
    <xf numFmtId="0" fontId="7" fillId="0" borderId="0" xfId="0" applyFont="1"/>
    <xf numFmtId="0" fontId="0" fillId="0" borderId="25" xfId="0" applyBorder="1"/>
    <xf numFmtId="9" fontId="7" fillId="3" borderId="0" xfId="4" applyFont="1" applyFill="1"/>
    <xf numFmtId="9" fontId="20" fillId="4" borderId="3" xfId="2" applyNumberFormat="1" applyFont="1" applyFill="1" applyBorder="1"/>
    <xf numFmtId="164" fontId="20" fillId="4" borderId="3" xfId="2" applyFont="1" applyFill="1" applyBorder="1"/>
    <xf numFmtId="9" fontId="16" fillId="3" borderId="0" xfId="4" applyFont="1" applyFill="1"/>
    <xf numFmtId="9" fontId="9" fillId="3" borderId="28" xfId="2" applyNumberFormat="1" applyFont="1" applyFill="1" applyBorder="1"/>
    <xf numFmtId="164" fontId="9" fillId="3" borderId="28" xfId="2" applyFont="1" applyFill="1" applyBorder="1"/>
    <xf numFmtId="0" fontId="3" fillId="0" borderId="1" xfId="3" applyFont="1" applyFill="1" applyBorder="1" applyAlignment="1">
      <alignment horizontal="center" vertical="center"/>
    </xf>
    <xf numFmtId="0" fontId="3" fillId="0" borderId="2" xfId="3" applyFont="1" applyFill="1" applyBorder="1" applyAlignment="1">
      <alignment horizontal="center" vertical="center"/>
    </xf>
    <xf numFmtId="164" fontId="4" fillId="0" borderId="0" xfId="3" applyNumberFormat="1" applyFont="1" applyFill="1" applyAlignment="1">
      <alignment horizontal="center"/>
    </xf>
    <xf numFmtId="9" fontId="4" fillId="4" borderId="28" xfId="2" applyNumberFormat="1" applyFont="1" applyFill="1" applyBorder="1"/>
    <xf numFmtId="164" fontId="4" fillId="4" borderId="28" xfId="2" applyFont="1" applyFill="1" applyBorder="1"/>
  </cellXfs>
  <cellStyles count="5">
    <cellStyle name="Comma" xfId="1" builtinId="3"/>
    <cellStyle name="Comma [0]" xfId="2" builtinId="6"/>
    <cellStyle name="Normal" xfId="0" builtinId="0"/>
    <cellStyle name="Normal_Sheet1" xfId="3"/>
    <cellStyle name="Percent" xfId="4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FISIK%20TB%203-7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FISIK%20TB%203-7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Opname_EK_9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  <sheetName val="C"/>
      <sheetName val="Sheet1"/>
    </sheetNames>
    <sheetDataSet>
      <sheetData sheetId="0">
        <row r="10">
          <cell r="F10">
            <v>25000</v>
          </cell>
        </row>
        <row r="11">
          <cell r="F11">
            <v>25000</v>
          </cell>
        </row>
      </sheetData>
      <sheetData sheetId="1">
        <row r="16">
          <cell r="F16">
            <v>1720000</v>
          </cell>
        </row>
      </sheetData>
      <sheetData sheetId="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  <sheetName val="C"/>
      <sheetName val="Sheet1"/>
    </sheetNames>
    <sheetDataSet>
      <sheetData sheetId="0" refreshError="1">
        <row r="10">
          <cell r="F10">
            <v>25000</v>
          </cell>
        </row>
        <row r="61">
          <cell r="F61">
            <v>1100000</v>
          </cell>
        </row>
        <row r="72">
          <cell r="F72">
            <v>2100000</v>
          </cell>
        </row>
        <row r="73">
          <cell r="F73">
            <v>1800000</v>
          </cell>
        </row>
        <row r="154">
          <cell r="F154">
            <v>30000</v>
          </cell>
        </row>
        <row r="158">
          <cell r="F158">
            <v>550000</v>
          </cell>
        </row>
      </sheetData>
      <sheetData sheetId="1" refreshError="1"/>
      <sheetData sheetId="2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pname_9"/>
    </sheetNames>
    <sheetDataSet>
      <sheetData sheetId="0">
        <row r="173">
          <cell r="I173">
            <v>123388305.64312503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96"/>
  <sheetViews>
    <sheetView tabSelected="1" topLeftCell="A156" zoomScale="110" zoomScaleSheetLayoutView="109" workbookViewId="0">
      <selection sqref="A1:I190"/>
    </sheetView>
  </sheetViews>
  <sheetFormatPr defaultColWidth="8.85546875" defaultRowHeight="14.25" x14ac:dyDescent="0.2"/>
  <cols>
    <col min="1" max="1" width="5.28515625" style="56" customWidth="1"/>
    <col min="2" max="2" width="3.140625" style="56" customWidth="1"/>
    <col min="3" max="3" width="2.140625" style="56" customWidth="1"/>
    <col min="4" max="4" width="45.7109375" style="56" customWidth="1"/>
    <col min="5" max="5" width="11.42578125" style="56" customWidth="1"/>
    <col min="6" max="6" width="5.140625" style="56" customWidth="1"/>
    <col min="7" max="7" width="12.28515625" style="56" bestFit="1" customWidth="1"/>
    <col min="8" max="8" width="9.28515625" style="67" customWidth="1"/>
    <col min="9" max="9" width="14.42578125" style="67" customWidth="1"/>
    <col min="10" max="10" width="7.140625" style="56" customWidth="1"/>
    <col min="11" max="11" width="6.42578125" style="56" customWidth="1"/>
    <col min="12" max="12" width="14.28515625" style="56" customWidth="1"/>
    <col min="13" max="13" width="11.28515625" style="56" bestFit="1" customWidth="1"/>
    <col min="14" max="14" width="6.7109375" style="56" bestFit="1" customWidth="1"/>
    <col min="15" max="15" width="2.140625" style="56" bestFit="1" customWidth="1"/>
    <col min="16" max="16" width="6.7109375" style="56" bestFit="1" customWidth="1"/>
    <col min="17" max="17" width="4.42578125" style="56" bestFit="1" customWidth="1"/>
    <col min="18" max="18" width="8.85546875" style="56" bestFit="1" customWidth="1"/>
    <col min="19" max="16384" width="8.85546875" style="56"/>
  </cols>
  <sheetData>
    <row r="1" spans="1:11" ht="20.25" x14ac:dyDescent="0.3">
      <c r="A1" s="1" t="s">
        <v>0</v>
      </c>
      <c r="B1" s="2"/>
      <c r="C1" s="2"/>
      <c r="D1" s="2"/>
      <c r="E1" s="2"/>
      <c r="F1" s="2"/>
      <c r="G1" s="2"/>
      <c r="H1" s="2"/>
      <c r="I1" s="2"/>
    </row>
    <row r="2" spans="1:11" x14ac:dyDescent="0.2">
      <c r="A2" s="3"/>
      <c r="B2" s="3"/>
      <c r="C2" s="3"/>
      <c r="D2" s="3"/>
      <c r="E2" s="3"/>
      <c r="F2" s="3"/>
      <c r="G2" s="3"/>
      <c r="H2" s="3"/>
      <c r="I2" s="3"/>
    </row>
    <row r="3" spans="1:11" ht="15" x14ac:dyDescent="0.2">
      <c r="A3" s="4" t="s">
        <v>1</v>
      </c>
      <c r="B3" s="4"/>
      <c r="C3" s="4" t="s">
        <v>2</v>
      </c>
      <c r="D3" s="5" t="s">
        <v>3</v>
      </c>
      <c r="E3" s="3"/>
      <c r="F3" s="3"/>
      <c r="G3" s="3"/>
      <c r="H3" s="3"/>
      <c r="I3" s="3"/>
    </row>
    <row r="4" spans="1:11" ht="15" x14ac:dyDescent="0.2">
      <c r="A4" s="4" t="s">
        <v>4</v>
      </c>
      <c r="B4" s="4"/>
      <c r="C4" s="4" t="s">
        <v>2</v>
      </c>
      <c r="D4" s="5" t="s">
        <v>5</v>
      </c>
      <c r="E4" s="3"/>
      <c r="F4" s="3"/>
      <c r="G4" s="3"/>
      <c r="H4" s="3"/>
      <c r="I4" s="3"/>
    </row>
    <row r="5" spans="1:11" ht="15" x14ac:dyDescent="0.2">
      <c r="A5" s="4" t="s">
        <v>6</v>
      </c>
      <c r="B5" s="4"/>
      <c r="C5" s="4" t="s">
        <v>2</v>
      </c>
      <c r="D5" s="5" t="s">
        <v>182</v>
      </c>
      <c r="E5" s="3"/>
      <c r="F5" s="3"/>
      <c r="G5" s="6"/>
      <c r="H5" s="6" t="s">
        <v>7</v>
      </c>
      <c r="I5" s="7">
        <v>10</v>
      </c>
    </row>
    <row r="6" spans="1:11" x14ac:dyDescent="0.2">
      <c r="A6" s="3"/>
      <c r="B6" s="3"/>
      <c r="C6" s="3"/>
      <c r="D6" s="8"/>
      <c r="E6" s="3"/>
      <c r="F6" s="3"/>
      <c r="G6" s="6"/>
      <c r="H6" s="6"/>
      <c r="I6" s="3"/>
    </row>
    <row r="7" spans="1:11" ht="15" x14ac:dyDescent="0.25">
      <c r="A7" s="189" t="s">
        <v>8</v>
      </c>
      <c r="B7" s="189" t="s">
        <v>9</v>
      </c>
      <c r="C7" s="189"/>
      <c r="D7" s="189"/>
      <c r="E7" s="9" t="s">
        <v>10</v>
      </c>
      <c r="F7" s="9" t="s">
        <v>11</v>
      </c>
      <c r="G7" s="9" t="s">
        <v>12</v>
      </c>
      <c r="H7" s="9" t="s">
        <v>13</v>
      </c>
      <c r="I7" s="10">
        <v>1</v>
      </c>
    </row>
    <row r="8" spans="1:11" ht="13.5" customHeight="1" thickBot="1" x14ac:dyDescent="0.3">
      <c r="A8" s="190"/>
      <c r="B8" s="190"/>
      <c r="C8" s="190"/>
      <c r="D8" s="190"/>
      <c r="E8" s="11" t="s">
        <v>14</v>
      </c>
      <c r="F8" s="11"/>
      <c r="G8" s="11" t="s">
        <v>15</v>
      </c>
      <c r="H8" s="11" t="s">
        <v>16</v>
      </c>
      <c r="I8" s="11" t="s">
        <v>17</v>
      </c>
    </row>
    <row r="9" spans="1:11" ht="15.75" thickTop="1" x14ac:dyDescent="0.25">
      <c r="A9" s="12"/>
      <c r="B9" s="13"/>
      <c r="C9" s="14"/>
      <c r="D9" s="15"/>
      <c r="E9" s="16"/>
      <c r="F9" s="16"/>
      <c r="G9" s="16"/>
      <c r="H9" s="17"/>
      <c r="I9" s="17"/>
    </row>
    <row r="10" spans="1:11" s="80" customFormat="1" ht="19.5" customHeight="1" x14ac:dyDescent="0.2">
      <c r="A10" s="74" t="s">
        <v>18</v>
      </c>
      <c r="B10" s="75" t="s">
        <v>19</v>
      </c>
      <c r="C10" s="76"/>
      <c r="D10" s="77"/>
      <c r="E10" s="78"/>
      <c r="F10" s="78"/>
      <c r="G10" s="78"/>
      <c r="H10" s="79"/>
      <c r="I10" s="79"/>
    </row>
    <row r="11" spans="1:11" ht="16.5" x14ac:dyDescent="0.2">
      <c r="A11" s="30">
        <v>1</v>
      </c>
      <c r="B11" s="31" t="s">
        <v>20</v>
      </c>
      <c r="C11" s="14"/>
      <c r="D11" s="15"/>
      <c r="E11" s="32">
        <v>48</v>
      </c>
      <c r="F11" s="30" t="s">
        <v>21</v>
      </c>
      <c r="G11" s="35">
        <v>125000</v>
      </c>
      <c r="H11" s="102">
        <v>0.25</v>
      </c>
      <c r="I11" s="103">
        <f t="shared" ref="I11:I14" si="0">E11*G11*H11</f>
        <v>1500000</v>
      </c>
      <c r="J11" s="71">
        <v>0.25</v>
      </c>
      <c r="K11" s="71">
        <f>H11-J11</f>
        <v>0</v>
      </c>
    </row>
    <row r="12" spans="1:11" x14ac:dyDescent="0.2">
      <c r="A12" s="30">
        <v>2</v>
      </c>
      <c r="B12" s="31" t="s">
        <v>22</v>
      </c>
      <c r="C12" s="14"/>
      <c r="D12" s="15"/>
      <c r="E12" s="32">
        <v>0</v>
      </c>
      <c r="F12" s="33" t="s">
        <v>23</v>
      </c>
      <c r="G12" s="35">
        <f>[1]A!$F$10</f>
        <v>25000</v>
      </c>
      <c r="H12" s="34">
        <v>0</v>
      </c>
      <c r="I12" s="35">
        <f t="shared" si="0"/>
        <v>0</v>
      </c>
    </row>
    <row r="13" spans="1:11" x14ac:dyDescent="0.2">
      <c r="A13" s="30">
        <v>3</v>
      </c>
      <c r="B13" s="31" t="s">
        <v>24</v>
      </c>
      <c r="C13" s="14"/>
      <c r="D13" s="15"/>
      <c r="E13" s="32">
        <v>149</v>
      </c>
      <c r="F13" s="33" t="s">
        <v>23</v>
      </c>
      <c r="G13" s="35">
        <f>[1]A!$F$11*0.5</f>
        <v>12500</v>
      </c>
      <c r="H13" s="102">
        <v>0.5</v>
      </c>
      <c r="I13" s="103">
        <f t="shared" si="0"/>
        <v>931250</v>
      </c>
      <c r="J13" s="71">
        <v>0.5</v>
      </c>
      <c r="K13" s="71">
        <f t="shared" ref="K13:K14" si="1">H13-J13</f>
        <v>0</v>
      </c>
    </row>
    <row r="14" spans="1:11" x14ac:dyDescent="0.2">
      <c r="A14" s="36">
        <v>4</v>
      </c>
      <c r="B14" s="107" t="s">
        <v>25</v>
      </c>
      <c r="C14" s="37"/>
      <c r="D14" s="38"/>
      <c r="E14" s="108">
        <v>10</v>
      </c>
      <c r="F14" s="109" t="s">
        <v>26</v>
      </c>
      <c r="G14" s="110">
        <v>3060000</v>
      </c>
      <c r="H14" s="176">
        <v>0.2</v>
      </c>
      <c r="I14" s="177">
        <f t="shared" si="0"/>
        <v>6120000</v>
      </c>
      <c r="J14" s="183">
        <v>0.2</v>
      </c>
      <c r="K14" s="183">
        <f t="shared" si="1"/>
        <v>0</v>
      </c>
    </row>
    <row r="15" spans="1:11" x14ac:dyDescent="0.2">
      <c r="A15" s="33"/>
      <c r="B15" s="39"/>
      <c r="C15" s="25"/>
      <c r="D15" s="26"/>
      <c r="E15" s="40"/>
      <c r="F15" s="33"/>
      <c r="G15" s="35"/>
      <c r="H15" s="34"/>
      <c r="I15" s="35"/>
    </row>
    <row r="16" spans="1:11" s="144" customFormat="1" ht="19.5" customHeight="1" x14ac:dyDescent="0.2">
      <c r="A16" s="137" t="s">
        <v>27</v>
      </c>
      <c r="B16" s="138" t="s">
        <v>28</v>
      </c>
      <c r="C16" s="139"/>
      <c r="D16" s="140"/>
      <c r="E16" s="141"/>
      <c r="F16" s="142"/>
      <c r="G16" s="141"/>
      <c r="H16" s="143"/>
      <c r="I16" s="143"/>
    </row>
    <row r="17" spans="1:13" s="144" customFormat="1" ht="16.5" x14ac:dyDescent="0.2">
      <c r="A17" s="145">
        <v>1</v>
      </c>
      <c r="B17" s="146" t="s">
        <v>29</v>
      </c>
      <c r="C17" s="147"/>
      <c r="D17" s="148"/>
      <c r="E17" s="149">
        <v>175.88106250000004</v>
      </c>
      <c r="F17" s="145" t="s">
        <v>180</v>
      </c>
      <c r="G17" s="150">
        <v>85000</v>
      </c>
      <c r="H17" s="151">
        <v>0</v>
      </c>
      <c r="I17" s="152">
        <f t="shared" ref="I17:I21" si="2">E17*G17*H17</f>
        <v>0</v>
      </c>
    </row>
    <row r="18" spans="1:13" s="144" customFormat="1" ht="16.5" x14ac:dyDescent="0.2">
      <c r="A18" s="145">
        <v>2</v>
      </c>
      <c r="B18" s="146" t="s">
        <v>31</v>
      </c>
      <c r="C18" s="147"/>
      <c r="D18" s="148"/>
      <c r="E18" s="149">
        <v>175.88106250000004</v>
      </c>
      <c r="F18" s="145" t="s">
        <v>180</v>
      </c>
      <c r="G18" s="150">
        <v>45000</v>
      </c>
      <c r="H18" s="153">
        <v>0.5</v>
      </c>
      <c r="I18" s="154">
        <f t="shared" si="2"/>
        <v>3957323.9062500009</v>
      </c>
      <c r="J18" s="155">
        <v>0.5</v>
      </c>
      <c r="K18" s="155">
        <f>H18-J18</f>
        <v>0</v>
      </c>
    </row>
    <row r="19" spans="1:13" s="144" customFormat="1" ht="16.5" x14ac:dyDescent="0.2">
      <c r="A19" s="145">
        <v>3</v>
      </c>
      <c r="B19" s="146" t="s">
        <v>32</v>
      </c>
      <c r="C19" s="156"/>
      <c r="D19" s="157"/>
      <c r="E19" s="149">
        <v>610.33500000000015</v>
      </c>
      <c r="F19" s="158" t="s">
        <v>180</v>
      </c>
      <c r="G19" s="150">
        <v>50000</v>
      </c>
      <c r="H19" s="151">
        <v>0</v>
      </c>
      <c r="I19" s="152">
        <f t="shared" si="2"/>
        <v>0</v>
      </c>
    </row>
    <row r="20" spans="1:13" s="144" customFormat="1" ht="16.5" x14ac:dyDescent="0.2">
      <c r="A20" s="145">
        <v>4</v>
      </c>
      <c r="B20" s="146" t="s">
        <v>33</v>
      </c>
      <c r="C20" s="156"/>
      <c r="D20" s="157"/>
      <c r="E20" s="149">
        <v>1233</v>
      </c>
      <c r="F20" s="158" t="s">
        <v>181</v>
      </c>
      <c r="G20" s="150">
        <v>20000</v>
      </c>
      <c r="H20" s="151">
        <v>0</v>
      </c>
      <c r="I20" s="152">
        <f t="shared" si="2"/>
        <v>0</v>
      </c>
    </row>
    <row r="21" spans="1:13" s="144" customFormat="1" ht="16.5" x14ac:dyDescent="0.2">
      <c r="A21" s="145">
        <v>5</v>
      </c>
      <c r="B21" s="146" t="s">
        <v>34</v>
      </c>
      <c r="C21" s="156"/>
      <c r="D21" s="157"/>
      <c r="E21" s="149">
        <v>534.875</v>
      </c>
      <c r="F21" s="158" t="s">
        <v>180</v>
      </c>
      <c r="G21" s="150">
        <v>60000</v>
      </c>
      <c r="H21" s="151">
        <v>0</v>
      </c>
      <c r="I21" s="152">
        <f t="shared" si="2"/>
        <v>0</v>
      </c>
    </row>
    <row r="22" spans="1:13" s="144" customFormat="1" ht="16.5" x14ac:dyDescent="0.2">
      <c r="A22" s="145">
        <v>6</v>
      </c>
      <c r="B22" s="146" t="s">
        <v>35</v>
      </c>
      <c r="C22" s="156"/>
      <c r="D22" s="157"/>
      <c r="E22" s="149">
        <v>368.50000000000006</v>
      </c>
      <c r="F22" s="158" t="s">
        <v>181</v>
      </c>
      <c r="G22" s="150">
        <v>15000</v>
      </c>
      <c r="H22" s="151">
        <v>0</v>
      </c>
      <c r="I22" s="152">
        <f>E22*G22*H22</f>
        <v>0</v>
      </c>
    </row>
    <row r="23" spans="1:13" s="144" customFormat="1" x14ac:dyDescent="0.2">
      <c r="A23" s="145"/>
      <c r="B23" s="159"/>
      <c r="C23" s="147"/>
      <c r="D23" s="148"/>
      <c r="E23" s="160"/>
      <c r="F23" s="145"/>
      <c r="G23" s="152"/>
      <c r="H23" s="151"/>
      <c r="I23" s="152"/>
    </row>
    <row r="24" spans="1:13" s="144" customFormat="1" ht="21" customHeight="1" x14ac:dyDescent="0.2">
      <c r="A24" s="161" t="s">
        <v>36</v>
      </c>
      <c r="B24" s="138" t="s">
        <v>37</v>
      </c>
      <c r="C24" s="162"/>
      <c r="D24" s="140"/>
      <c r="E24" s="141"/>
      <c r="F24" s="142"/>
      <c r="G24" s="141"/>
      <c r="H24" s="143"/>
      <c r="I24" s="143"/>
    </row>
    <row r="25" spans="1:13" s="144" customFormat="1" x14ac:dyDescent="0.2">
      <c r="A25" s="158">
        <v>1</v>
      </c>
      <c r="B25" s="146" t="s">
        <v>38</v>
      </c>
      <c r="C25" s="163"/>
      <c r="D25" s="148"/>
      <c r="E25" s="149">
        <v>0</v>
      </c>
      <c r="F25" s="145" t="s">
        <v>39</v>
      </c>
      <c r="G25" s="150">
        <v>5000</v>
      </c>
      <c r="H25" s="151">
        <v>0</v>
      </c>
      <c r="I25" s="152">
        <f t="shared" ref="I25:I29" si="3">E25*G25*H25</f>
        <v>0</v>
      </c>
    </row>
    <row r="26" spans="1:13" s="144" customFormat="1" x14ac:dyDescent="0.2">
      <c r="A26" s="145">
        <v>2</v>
      </c>
      <c r="B26" s="146" t="s">
        <v>40</v>
      </c>
      <c r="C26" s="147"/>
      <c r="D26" s="148"/>
      <c r="E26" s="149">
        <v>0</v>
      </c>
      <c r="F26" s="145" t="s">
        <v>39</v>
      </c>
      <c r="G26" s="150">
        <v>25000</v>
      </c>
      <c r="H26" s="151">
        <v>0</v>
      </c>
      <c r="I26" s="152">
        <f t="shared" si="3"/>
        <v>0</v>
      </c>
    </row>
    <row r="27" spans="1:13" s="144" customFormat="1" x14ac:dyDescent="0.2">
      <c r="A27" s="145">
        <v>3</v>
      </c>
      <c r="B27" s="146" t="s">
        <v>41</v>
      </c>
      <c r="C27" s="156"/>
      <c r="D27" s="157"/>
      <c r="E27" s="149">
        <v>221</v>
      </c>
      <c r="F27" s="145" t="s">
        <v>39</v>
      </c>
      <c r="G27" s="150">
        <v>30000</v>
      </c>
      <c r="H27" s="153">
        <v>0.5</v>
      </c>
      <c r="I27" s="154">
        <f t="shared" si="3"/>
        <v>3315000</v>
      </c>
      <c r="J27" s="155">
        <v>0.5</v>
      </c>
      <c r="K27" s="155">
        <f>H27-J27</f>
        <v>0</v>
      </c>
    </row>
    <row r="28" spans="1:13" s="144" customFormat="1" x14ac:dyDescent="0.2">
      <c r="A28" s="145">
        <v>4</v>
      </c>
      <c r="B28" s="146" t="s">
        <v>42</v>
      </c>
      <c r="C28" s="156"/>
      <c r="D28" s="157"/>
      <c r="E28" s="149">
        <v>0</v>
      </c>
      <c r="F28" s="145" t="s">
        <v>39</v>
      </c>
      <c r="G28" s="150">
        <v>50000</v>
      </c>
      <c r="H28" s="151">
        <v>0</v>
      </c>
      <c r="I28" s="152">
        <f t="shared" si="3"/>
        <v>0</v>
      </c>
    </row>
    <row r="29" spans="1:13" s="144" customFormat="1" x14ac:dyDescent="0.2">
      <c r="A29" s="145">
        <v>5</v>
      </c>
      <c r="B29" s="146" t="s">
        <v>43</v>
      </c>
      <c r="C29" s="156"/>
      <c r="D29" s="157"/>
      <c r="E29" s="149">
        <v>0</v>
      </c>
      <c r="F29" s="145" t="s">
        <v>39</v>
      </c>
      <c r="G29" s="150">
        <v>90000</v>
      </c>
      <c r="H29" s="151">
        <v>0</v>
      </c>
      <c r="I29" s="152">
        <f t="shared" si="3"/>
        <v>0</v>
      </c>
    </row>
    <row r="30" spans="1:13" s="144" customFormat="1" x14ac:dyDescent="0.2">
      <c r="A30" s="145"/>
      <c r="B30" s="159"/>
      <c r="C30" s="147"/>
      <c r="D30" s="148"/>
      <c r="E30" s="160"/>
      <c r="F30" s="145"/>
      <c r="G30" s="152"/>
      <c r="H30" s="151"/>
      <c r="I30" s="152"/>
    </row>
    <row r="31" spans="1:13" s="144" customFormat="1" ht="21" customHeight="1" x14ac:dyDescent="0.2">
      <c r="A31" s="161" t="s">
        <v>44</v>
      </c>
      <c r="B31" s="138" t="s">
        <v>45</v>
      </c>
      <c r="C31" s="164"/>
      <c r="D31" s="140"/>
      <c r="E31" s="141"/>
      <c r="F31" s="141"/>
      <c r="G31" s="141"/>
      <c r="H31" s="143"/>
      <c r="I31" s="143"/>
    </row>
    <row r="32" spans="1:13" s="144" customFormat="1" ht="16.5" x14ac:dyDescent="0.2">
      <c r="A32" s="158">
        <v>1</v>
      </c>
      <c r="B32" s="146" t="s">
        <v>46</v>
      </c>
      <c r="C32" s="163"/>
      <c r="D32" s="148"/>
      <c r="E32" s="149">
        <v>43.155000000000001</v>
      </c>
      <c r="F32" s="158" t="s">
        <v>180</v>
      </c>
      <c r="G32" s="152">
        <v>430000</v>
      </c>
      <c r="H32" s="153">
        <v>0.35</v>
      </c>
      <c r="I32" s="154">
        <f t="shared" ref="I32:I65" si="4">E32*G32*H32</f>
        <v>6494827.5</v>
      </c>
      <c r="J32" s="155">
        <v>0.35</v>
      </c>
      <c r="K32" s="155">
        <f>H32-J32</f>
        <v>0</v>
      </c>
      <c r="M32" s="144" t="s">
        <v>160</v>
      </c>
    </row>
    <row r="33" spans="1:13" s="144" customFormat="1" x14ac:dyDescent="0.2">
      <c r="A33" s="145">
        <v>2</v>
      </c>
      <c r="B33" s="146" t="s">
        <v>47</v>
      </c>
      <c r="C33" s="156"/>
      <c r="D33" s="157"/>
      <c r="E33" s="149"/>
      <c r="F33" s="158"/>
      <c r="G33" s="152"/>
      <c r="H33" s="151"/>
      <c r="I33" s="152">
        <f t="shared" si="4"/>
        <v>0</v>
      </c>
    </row>
    <row r="34" spans="1:13" s="144" customFormat="1" ht="16.5" x14ac:dyDescent="0.2">
      <c r="A34" s="145"/>
      <c r="B34" s="165"/>
      <c r="C34" s="166" t="s">
        <v>48</v>
      </c>
      <c r="D34" s="157"/>
      <c r="E34" s="149">
        <v>0.75</v>
      </c>
      <c r="F34" s="158" t="s">
        <v>180</v>
      </c>
      <c r="G34" s="152">
        <v>700000</v>
      </c>
      <c r="H34" s="153">
        <v>0.5</v>
      </c>
      <c r="I34" s="154">
        <f t="shared" si="4"/>
        <v>262500</v>
      </c>
      <c r="J34" s="155">
        <v>0.5</v>
      </c>
      <c r="K34" s="155">
        <f t="shared" ref="K34:K35" si="5">H34-J34</f>
        <v>0</v>
      </c>
      <c r="M34" s="144">
        <f>E34*H34</f>
        <v>0.375</v>
      </c>
    </row>
    <row r="35" spans="1:13" s="144" customFormat="1" ht="16.5" x14ac:dyDescent="0.2">
      <c r="A35" s="145"/>
      <c r="B35" s="165"/>
      <c r="C35" s="166" t="s">
        <v>49</v>
      </c>
      <c r="D35" s="157"/>
      <c r="E35" s="149">
        <v>3.24</v>
      </c>
      <c r="F35" s="158" t="s">
        <v>180</v>
      </c>
      <c r="G35" s="152">
        <v>660000</v>
      </c>
      <c r="H35" s="153">
        <v>0.5</v>
      </c>
      <c r="I35" s="154">
        <f t="shared" si="4"/>
        <v>1069200</v>
      </c>
      <c r="J35" s="155">
        <v>0.5</v>
      </c>
      <c r="K35" s="155">
        <f t="shared" si="5"/>
        <v>0</v>
      </c>
      <c r="M35" s="144">
        <f t="shared" ref="M35:M62" si="6">E35*H35</f>
        <v>1.62</v>
      </c>
    </row>
    <row r="36" spans="1:13" s="144" customFormat="1" ht="16.5" x14ac:dyDescent="0.2">
      <c r="A36" s="145"/>
      <c r="B36" s="165"/>
      <c r="C36" s="166" t="s">
        <v>50</v>
      </c>
      <c r="D36" s="157"/>
      <c r="E36" s="149">
        <v>0.6</v>
      </c>
      <c r="F36" s="158" t="s">
        <v>180</v>
      </c>
      <c r="G36" s="152">
        <v>700000</v>
      </c>
      <c r="H36" s="151">
        <v>0</v>
      </c>
      <c r="I36" s="152">
        <f>E36*G36*H36</f>
        <v>0</v>
      </c>
      <c r="M36" s="144">
        <f t="shared" si="6"/>
        <v>0</v>
      </c>
    </row>
    <row r="37" spans="1:13" s="144" customFormat="1" ht="16.5" x14ac:dyDescent="0.2">
      <c r="A37" s="145"/>
      <c r="B37" s="165"/>
      <c r="C37" s="166" t="s">
        <v>51</v>
      </c>
      <c r="D37" s="157"/>
      <c r="E37" s="149">
        <v>0.36</v>
      </c>
      <c r="F37" s="158" t="s">
        <v>180</v>
      </c>
      <c r="G37" s="152">
        <v>690000</v>
      </c>
      <c r="H37" s="151">
        <v>0</v>
      </c>
      <c r="I37" s="152">
        <f t="shared" si="4"/>
        <v>0</v>
      </c>
      <c r="M37" s="144">
        <f t="shared" si="6"/>
        <v>0</v>
      </c>
    </row>
    <row r="38" spans="1:13" s="144" customFormat="1" ht="16.5" x14ac:dyDescent="0.2">
      <c r="A38" s="145"/>
      <c r="B38" s="165"/>
      <c r="C38" s="166" t="s">
        <v>52</v>
      </c>
      <c r="D38" s="157"/>
      <c r="E38" s="149">
        <v>3.0250000000000004</v>
      </c>
      <c r="F38" s="158" t="s">
        <v>180</v>
      </c>
      <c r="G38" s="152">
        <v>650000</v>
      </c>
      <c r="H38" s="153">
        <v>0.75</v>
      </c>
      <c r="I38" s="154">
        <f t="shared" si="4"/>
        <v>1474687.5000000002</v>
      </c>
      <c r="J38" s="155">
        <v>0.75</v>
      </c>
      <c r="K38" s="155">
        <f t="shared" ref="K38:K45" si="7">H38-J38</f>
        <v>0</v>
      </c>
      <c r="M38" s="144">
        <f t="shared" si="6"/>
        <v>2.2687500000000003</v>
      </c>
    </row>
    <row r="39" spans="1:13" s="144" customFormat="1" ht="16.5" x14ac:dyDescent="0.2">
      <c r="A39" s="145"/>
      <c r="B39" s="165"/>
      <c r="C39" s="166" t="s">
        <v>53</v>
      </c>
      <c r="D39" s="157"/>
      <c r="E39" s="149">
        <v>5.1840000000000002</v>
      </c>
      <c r="F39" s="158" t="s">
        <v>180</v>
      </c>
      <c r="G39" s="152">
        <v>550000</v>
      </c>
      <c r="H39" s="153">
        <v>0.75</v>
      </c>
      <c r="I39" s="154">
        <f t="shared" si="4"/>
        <v>2138400</v>
      </c>
      <c r="J39" s="155">
        <v>0.75</v>
      </c>
      <c r="K39" s="155">
        <f t="shared" si="7"/>
        <v>0</v>
      </c>
      <c r="M39" s="144">
        <f t="shared" si="6"/>
        <v>3.8879999999999999</v>
      </c>
    </row>
    <row r="40" spans="1:13" s="144" customFormat="1" ht="16.5" x14ac:dyDescent="0.2">
      <c r="A40" s="145"/>
      <c r="B40" s="165"/>
      <c r="C40" s="166" t="s">
        <v>54</v>
      </c>
      <c r="D40" s="157"/>
      <c r="E40" s="149">
        <v>4.1580000000000013</v>
      </c>
      <c r="F40" s="158" t="s">
        <v>180</v>
      </c>
      <c r="G40" s="152">
        <v>500000</v>
      </c>
      <c r="H40" s="153">
        <v>0.5</v>
      </c>
      <c r="I40" s="154">
        <f t="shared" si="4"/>
        <v>1039500.0000000003</v>
      </c>
      <c r="J40" s="155">
        <v>0.5</v>
      </c>
      <c r="K40" s="155">
        <f t="shared" si="7"/>
        <v>0</v>
      </c>
      <c r="M40" s="144">
        <f t="shared" si="6"/>
        <v>2.0790000000000006</v>
      </c>
    </row>
    <row r="41" spans="1:13" s="144" customFormat="1" ht="16.5" x14ac:dyDescent="0.2">
      <c r="A41" s="145"/>
      <c r="B41" s="165"/>
      <c r="C41" s="166" t="s">
        <v>55</v>
      </c>
      <c r="D41" s="157"/>
      <c r="E41" s="149">
        <v>5.5439999999999996</v>
      </c>
      <c r="F41" s="158" t="s">
        <v>180</v>
      </c>
      <c r="G41" s="152">
        <v>550000</v>
      </c>
      <c r="H41" s="153">
        <v>0.5</v>
      </c>
      <c r="I41" s="154">
        <f t="shared" si="4"/>
        <v>1524600</v>
      </c>
      <c r="J41" s="155">
        <v>0.5</v>
      </c>
      <c r="K41" s="155">
        <f t="shared" si="7"/>
        <v>0</v>
      </c>
      <c r="M41" s="144">
        <f t="shared" si="6"/>
        <v>2.7719999999999998</v>
      </c>
    </row>
    <row r="42" spans="1:13" s="144" customFormat="1" ht="16.5" x14ac:dyDescent="0.2">
      <c r="A42" s="145"/>
      <c r="B42" s="165"/>
      <c r="C42" s="166" t="s">
        <v>56</v>
      </c>
      <c r="D42" s="157"/>
      <c r="E42" s="149">
        <v>2.6620000000000008</v>
      </c>
      <c r="F42" s="158" t="s">
        <v>180</v>
      </c>
      <c r="G42" s="152">
        <v>600000</v>
      </c>
      <c r="H42" s="153">
        <v>0.75</v>
      </c>
      <c r="I42" s="154">
        <f t="shared" si="4"/>
        <v>1197900.0000000005</v>
      </c>
      <c r="J42" s="155">
        <v>0.75</v>
      </c>
      <c r="K42" s="155">
        <f t="shared" si="7"/>
        <v>0</v>
      </c>
      <c r="M42" s="144">
        <f t="shared" si="6"/>
        <v>1.9965000000000006</v>
      </c>
    </row>
    <row r="43" spans="1:13" s="144" customFormat="1" ht="16.5" x14ac:dyDescent="0.2">
      <c r="A43" s="145"/>
      <c r="B43" s="165"/>
      <c r="C43" s="166" t="s">
        <v>57</v>
      </c>
      <c r="D43" s="157"/>
      <c r="E43" s="149">
        <v>6.93</v>
      </c>
      <c r="F43" s="158" t="s">
        <v>180</v>
      </c>
      <c r="G43" s="152">
        <v>550000</v>
      </c>
      <c r="H43" s="153">
        <v>0.75</v>
      </c>
      <c r="I43" s="154">
        <f>E43*G43*H43</f>
        <v>2858625</v>
      </c>
      <c r="J43" s="155">
        <v>0.75</v>
      </c>
      <c r="K43" s="155">
        <f t="shared" si="7"/>
        <v>0</v>
      </c>
      <c r="M43" s="144">
        <f t="shared" si="6"/>
        <v>5.1974999999999998</v>
      </c>
    </row>
    <row r="44" spans="1:13" s="144" customFormat="1" ht="16.5" x14ac:dyDescent="0.2">
      <c r="A44" s="145"/>
      <c r="B44" s="165"/>
      <c r="C44" s="166" t="s">
        <v>58</v>
      </c>
      <c r="D44" s="157"/>
      <c r="E44" s="149">
        <v>22.44</v>
      </c>
      <c r="F44" s="158" t="s">
        <v>180</v>
      </c>
      <c r="G44" s="152">
        <v>500000</v>
      </c>
      <c r="H44" s="153">
        <v>0.5</v>
      </c>
      <c r="I44" s="154">
        <f>E44*G44*H44</f>
        <v>5610000</v>
      </c>
      <c r="J44" s="155">
        <v>0.5</v>
      </c>
      <c r="K44" s="155">
        <f t="shared" si="7"/>
        <v>0</v>
      </c>
      <c r="M44" s="144">
        <f t="shared" si="6"/>
        <v>11.22</v>
      </c>
    </row>
    <row r="45" spans="1:13" s="144" customFormat="1" ht="16.5" x14ac:dyDescent="0.2">
      <c r="A45" s="145"/>
      <c r="B45" s="165"/>
      <c r="C45" s="166" t="s">
        <v>59</v>
      </c>
      <c r="D45" s="157"/>
      <c r="E45" s="149">
        <v>3.2805000000000004</v>
      </c>
      <c r="F45" s="158" t="s">
        <v>180</v>
      </c>
      <c r="G45" s="152">
        <v>500000</v>
      </c>
      <c r="H45" s="153">
        <v>0.5</v>
      </c>
      <c r="I45" s="154">
        <f>E45*G45*H45</f>
        <v>820125.00000000012</v>
      </c>
      <c r="J45" s="155">
        <v>0.5</v>
      </c>
      <c r="K45" s="155">
        <f t="shared" si="7"/>
        <v>0</v>
      </c>
      <c r="M45" s="144">
        <f t="shared" si="6"/>
        <v>1.6402500000000002</v>
      </c>
    </row>
    <row r="46" spans="1:13" s="144" customFormat="1" ht="16.5" x14ac:dyDescent="0.2">
      <c r="A46" s="145"/>
      <c r="B46" s="165"/>
      <c r="C46" s="166" t="s">
        <v>60</v>
      </c>
      <c r="D46" s="157"/>
      <c r="E46" s="149">
        <v>3.997125</v>
      </c>
      <c r="F46" s="158" t="s">
        <v>180</v>
      </c>
      <c r="G46" s="152">
        <v>550000</v>
      </c>
      <c r="H46" s="153">
        <v>0.5</v>
      </c>
      <c r="I46" s="154">
        <f t="shared" si="4"/>
        <v>1099209.375</v>
      </c>
      <c r="J46" s="155">
        <v>0.5</v>
      </c>
      <c r="K46" s="155">
        <f>H46-J46</f>
        <v>0</v>
      </c>
      <c r="M46" s="144">
        <f t="shared" si="6"/>
        <v>1.9985625</v>
      </c>
    </row>
    <row r="47" spans="1:13" s="144" customFormat="1" ht="16.5" x14ac:dyDescent="0.2">
      <c r="A47" s="145"/>
      <c r="B47" s="165"/>
      <c r="C47" s="166" t="s">
        <v>61</v>
      </c>
      <c r="D47" s="157"/>
      <c r="E47" s="149">
        <v>1.0230000000000001</v>
      </c>
      <c r="F47" s="158" t="s">
        <v>180</v>
      </c>
      <c r="G47" s="152">
        <v>500000</v>
      </c>
      <c r="H47" s="151">
        <v>0</v>
      </c>
      <c r="I47" s="152">
        <f t="shared" si="4"/>
        <v>0</v>
      </c>
      <c r="M47" s="144">
        <f t="shared" si="6"/>
        <v>0</v>
      </c>
    </row>
    <row r="48" spans="1:13" s="144" customFormat="1" ht="16.5" x14ac:dyDescent="0.2">
      <c r="A48" s="145"/>
      <c r="B48" s="165"/>
      <c r="C48" s="166" t="s">
        <v>62</v>
      </c>
      <c r="D48" s="157"/>
      <c r="E48" s="149">
        <v>2.2440000000000002</v>
      </c>
      <c r="F48" s="158" t="s">
        <v>180</v>
      </c>
      <c r="G48" s="152">
        <v>500000</v>
      </c>
      <c r="H48" s="151">
        <v>0</v>
      </c>
      <c r="I48" s="152">
        <f t="shared" si="4"/>
        <v>0</v>
      </c>
      <c r="M48" s="144">
        <f t="shared" si="6"/>
        <v>0</v>
      </c>
    </row>
    <row r="49" spans="1:13" s="144" customFormat="1" ht="16.5" x14ac:dyDescent="0.2">
      <c r="A49" s="145"/>
      <c r="B49" s="165"/>
      <c r="C49" s="166" t="s">
        <v>63</v>
      </c>
      <c r="D49" s="157"/>
      <c r="E49" s="149">
        <v>4.3740000000000006</v>
      </c>
      <c r="F49" s="158" t="s">
        <v>180</v>
      </c>
      <c r="G49" s="152">
        <v>500000</v>
      </c>
      <c r="H49" s="151">
        <v>1</v>
      </c>
      <c r="I49" s="152">
        <f t="shared" si="4"/>
        <v>2187000.0000000005</v>
      </c>
      <c r="J49" s="155">
        <v>1</v>
      </c>
      <c r="K49" s="155">
        <f t="shared" ref="K49:K65" si="8">H49-J49</f>
        <v>0</v>
      </c>
      <c r="M49" s="144">
        <f t="shared" si="6"/>
        <v>4.3740000000000006</v>
      </c>
    </row>
    <row r="50" spans="1:13" s="144" customFormat="1" ht="16.5" x14ac:dyDescent="0.2">
      <c r="A50" s="145"/>
      <c r="B50" s="165"/>
      <c r="C50" s="166" t="s">
        <v>64</v>
      </c>
      <c r="D50" s="157"/>
      <c r="E50" s="149">
        <v>0.13200000000000001</v>
      </c>
      <c r="F50" s="158" t="s">
        <v>180</v>
      </c>
      <c r="G50" s="152">
        <v>800000</v>
      </c>
      <c r="H50" s="151">
        <v>1</v>
      </c>
      <c r="I50" s="152">
        <f t="shared" si="4"/>
        <v>105600</v>
      </c>
      <c r="J50" s="155">
        <v>1</v>
      </c>
      <c r="K50" s="155">
        <f t="shared" si="8"/>
        <v>0</v>
      </c>
      <c r="M50" s="144">
        <f t="shared" si="6"/>
        <v>0.13200000000000001</v>
      </c>
    </row>
    <row r="51" spans="1:13" s="144" customFormat="1" ht="16.5" x14ac:dyDescent="0.2">
      <c r="A51" s="145"/>
      <c r="B51" s="167"/>
      <c r="C51" s="168" t="s">
        <v>65</v>
      </c>
      <c r="D51" s="157"/>
      <c r="E51" s="169">
        <v>0.45600000000000007</v>
      </c>
      <c r="F51" s="158" t="s">
        <v>180</v>
      </c>
      <c r="G51" s="170">
        <v>725000</v>
      </c>
      <c r="H51" s="151">
        <v>1</v>
      </c>
      <c r="I51" s="152">
        <f t="shared" si="4"/>
        <v>330600.00000000006</v>
      </c>
      <c r="J51" s="155">
        <v>1</v>
      </c>
      <c r="K51" s="155">
        <f t="shared" si="8"/>
        <v>0</v>
      </c>
      <c r="M51" s="144">
        <f t="shared" si="6"/>
        <v>0.45600000000000007</v>
      </c>
    </row>
    <row r="52" spans="1:13" s="144" customFormat="1" ht="16.5" x14ac:dyDescent="0.2">
      <c r="A52" s="145"/>
      <c r="B52" s="171"/>
      <c r="C52" s="172" t="s">
        <v>66</v>
      </c>
      <c r="D52" s="157"/>
      <c r="E52" s="173">
        <v>24.705000000000002</v>
      </c>
      <c r="F52" s="158" t="s">
        <v>180</v>
      </c>
      <c r="G52" s="143">
        <v>775000</v>
      </c>
      <c r="H52" s="153">
        <v>0.6</v>
      </c>
      <c r="I52" s="154">
        <f>E52*G52*H52</f>
        <v>11487825</v>
      </c>
      <c r="J52" s="155">
        <v>0.6</v>
      </c>
      <c r="K52" s="155">
        <f t="shared" si="8"/>
        <v>0</v>
      </c>
      <c r="M52" s="144">
        <f t="shared" si="6"/>
        <v>14.823</v>
      </c>
    </row>
    <row r="53" spans="1:13" s="144" customFormat="1" ht="16.5" x14ac:dyDescent="0.2">
      <c r="A53" s="145"/>
      <c r="B53" s="167"/>
      <c r="C53" s="168" t="s">
        <v>67</v>
      </c>
      <c r="D53" s="157"/>
      <c r="E53" s="169">
        <v>1.6559999999999999</v>
      </c>
      <c r="F53" s="158" t="s">
        <v>180</v>
      </c>
      <c r="G53" s="143">
        <v>875000</v>
      </c>
      <c r="H53" s="153">
        <v>0.6</v>
      </c>
      <c r="I53" s="154">
        <f t="shared" si="4"/>
        <v>869400</v>
      </c>
      <c r="J53" s="155">
        <v>0.6</v>
      </c>
      <c r="K53" s="155">
        <f t="shared" si="8"/>
        <v>0</v>
      </c>
      <c r="M53" s="144">
        <f t="shared" si="6"/>
        <v>0.99359999999999993</v>
      </c>
    </row>
    <row r="54" spans="1:13" s="144" customFormat="1" ht="16.5" x14ac:dyDescent="0.2">
      <c r="A54" s="145"/>
      <c r="B54" s="165"/>
      <c r="C54" s="166" t="s">
        <v>68</v>
      </c>
      <c r="D54" s="157"/>
      <c r="E54" s="149">
        <v>8.2200000000000006</v>
      </c>
      <c r="F54" s="158" t="s">
        <v>180</v>
      </c>
      <c r="G54" s="143">
        <v>925000</v>
      </c>
      <c r="H54" s="153">
        <v>0.5</v>
      </c>
      <c r="I54" s="154">
        <f t="shared" si="4"/>
        <v>3801750.0000000005</v>
      </c>
      <c r="J54" s="155">
        <v>0.5</v>
      </c>
      <c r="K54" s="155">
        <f t="shared" si="8"/>
        <v>0</v>
      </c>
      <c r="M54" s="144">
        <f t="shared" si="6"/>
        <v>4.1100000000000003</v>
      </c>
    </row>
    <row r="55" spans="1:13" s="144" customFormat="1" ht="16.5" x14ac:dyDescent="0.2">
      <c r="A55" s="145"/>
      <c r="B55" s="165"/>
      <c r="C55" s="166" t="s">
        <v>69</v>
      </c>
      <c r="D55" s="157"/>
      <c r="E55" s="149">
        <v>2.8200000000000003</v>
      </c>
      <c r="F55" s="158" t="s">
        <v>180</v>
      </c>
      <c r="G55" s="143">
        <v>1100000</v>
      </c>
      <c r="H55" s="153">
        <v>0.5</v>
      </c>
      <c r="I55" s="154">
        <f t="shared" si="4"/>
        <v>1551000.0000000002</v>
      </c>
      <c r="J55" s="155">
        <v>0.5</v>
      </c>
      <c r="K55" s="155">
        <f t="shared" si="8"/>
        <v>0</v>
      </c>
      <c r="M55" s="144">
        <f t="shared" si="6"/>
        <v>1.4100000000000001</v>
      </c>
    </row>
    <row r="56" spans="1:13" s="144" customFormat="1" ht="16.5" x14ac:dyDescent="0.2">
      <c r="A56" s="145"/>
      <c r="B56" s="165"/>
      <c r="C56" s="166" t="s">
        <v>70</v>
      </c>
      <c r="D56" s="157"/>
      <c r="E56" s="149">
        <v>3.2700000000000005</v>
      </c>
      <c r="F56" s="158" t="s">
        <v>180</v>
      </c>
      <c r="G56" s="143">
        <v>1000000</v>
      </c>
      <c r="H56" s="153">
        <v>0.5</v>
      </c>
      <c r="I56" s="154">
        <f t="shared" si="4"/>
        <v>1635000.0000000002</v>
      </c>
      <c r="J56" s="155">
        <v>0.5</v>
      </c>
      <c r="K56" s="155">
        <f t="shared" si="8"/>
        <v>0</v>
      </c>
      <c r="M56" s="144">
        <f t="shared" si="6"/>
        <v>1.6350000000000002</v>
      </c>
    </row>
    <row r="57" spans="1:13" s="144" customFormat="1" ht="16.5" x14ac:dyDescent="0.2">
      <c r="A57" s="145"/>
      <c r="B57" s="165"/>
      <c r="C57" s="166" t="s">
        <v>71</v>
      </c>
      <c r="D57" s="157"/>
      <c r="E57" s="149">
        <v>10.612499999999999</v>
      </c>
      <c r="F57" s="158" t="s">
        <v>180</v>
      </c>
      <c r="G57" s="143">
        <v>750000</v>
      </c>
      <c r="H57" s="153">
        <v>0.5</v>
      </c>
      <c r="I57" s="154">
        <f t="shared" si="4"/>
        <v>3979687.4999999995</v>
      </c>
      <c r="J57" s="155">
        <v>0.5</v>
      </c>
      <c r="K57" s="155">
        <f t="shared" si="8"/>
        <v>0</v>
      </c>
      <c r="M57" s="144">
        <f t="shared" si="6"/>
        <v>5.3062499999999995</v>
      </c>
    </row>
    <row r="58" spans="1:13" s="144" customFormat="1" ht="16.5" x14ac:dyDescent="0.2">
      <c r="A58" s="145"/>
      <c r="B58" s="165"/>
      <c r="C58" s="166" t="s">
        <v>72</v>
      </c>
      <c r="D58" s="157"/>
      <c r="E58" s="149">
        <v>4.5750000000000002</v>
      </c>
      <c r="F58" s="158" t="s">
        <v>180</v>
      </c>
      <c r="G58" s="143">
        <v>1000000</v>
      </c>
      <c r="H58" s="153">
        <v>0.5</v>
      </c>
      <c r="I58" s="154">
        <f t="shared" si="4"/>
        <v>2287500</v>
      </c>
      <c r="J58" s="155">
        <v>0.5</v>
      </c>
      <c r="K58" s="155">
        <f t="shared" si="8"/>
        <v>0</v>
      </c>
      <c r="M58" s="144">
        <f t="shared" si="6"/>
        <v>2.2875000000000001</v>
      </c>
    </row>
    <row r="59" spans="1:13" s="144" customFormat="1" ht="16.5" x14ac:dyDescent="0.2">
      <c r="A59" s="145"/>
      <c r="B59" s="165"/>
      <c r="C59" s="166" t="s">
        <v>73</v>
      </c>
      <c r="D59" s="157"/>
      <c r="E59" s="149">
        <v>0.75</v>
      </c>
      <c r="F59" s="158" t="s">
        <v>180</v>
      </c>
      <c r="G59" s="143">
        <v>1000000</v>
      </c>
      <c r="H59" s="153">
        <v>0.5</v>
      </c>
      <c r="I59" s="154">
        <f t="shared" si="4"/>
        <v>375000</v>
      </c>
      <c r="J59" s="155">
        <v>0.5</v>
      </c>
      <c r="K59" s="155">
        <f t="shared" si="8"/>
        <v>0</v>
      </c>
      <c r="M59" s="144">
        <f t="shared" si="6"/>
        <v>0.375</v>
      </c>
    </row>
    <row r="60" spans="1:13" s="144" customFormat="1" ht="16.5" x14ac:dyDescent="0.2">
      <c r="A60" s="145"/>
      <c r="B60" s="165"/>
      <c r="C60" s="166" t="s">
        <v>74</v>
      </c>
      <c r="D60" s="157"/>
      <c r="E60" s="149">
        <v>4.8</v>
      </c>
      <c r="F60" s="158" t="s">
        <v>180</v>
      </c>
      <c r="G60" s="143">
        <v>900000</v>
      </c>
      <c r="H60" s="153">
        <v>0.5</v>
      </c>
      <c r="I60" s="154">
        <f t="shared" si="4"/>
        <v>2160000</v>
      </c>
      <c r="J60" s="155">
        <v>0.5</v>
      </c>
      <c r="K60" s="155">
        <f t="shared" si="8"/>
        <v>0</v>
      </c>
      <c r="M60" s="144">
        <f t="shared" si="6"/>
        <v>2.4</v>
      </c>
    </row>
    <row r="61" spans="1:13" s="144" customFormat="1" ht="16.5" x14ac:dyDescent="0.2">
      <c r="A61" s="145"/>
      <c r="B61" s="165"/>
      <c r="C61" s="166" t="s">
        <v>75</v>
      </c>
      <c r="D61" s="157"/>
      <c r="E61" s="149">
        <v>1.25</v>
      </c>
      <c r="F61" s="158" t="s">
        <v>180</v>
      </c>
      <c r="G61" s="143">
        <v>1100000</v>
      </c>
      <c r="H61" s="151">
        <v>1</v>
      </c>
      <c r="I61" s="152">
        <f t="shared" si="4"/>
        <v>1375000</v>
      </c>
      <c r="J61" s="155">
        <v>1</v>
      </c>
      <c r="K61" s="155">
        <f t="shared" si="8"/>
        <v>0</v>
      </c>
      <c r="M61" s="144">
        <f t="shared" si="6"/>
        <v>1.25</v>
      </c>
    </row>
    <row r="62" spans="1:13" s="144" customFormat="1" ht="16.5" x14ac:dyDescent="0.2">
      <c r="A62" s="145"/>
      <c r="B62" s="165"/>
      <c r="C62" s="166" t="s">
        <v>76</v>
      </c>
      <c r="D62" s="157"/>
      <c r="E62" s="149">
        <v>2.2349999999999999</v>
      </c>
      <c r="F62" s="158" t="s">
        <v>180</v>
      </c>
      <c r="G62" s="143">
        <v>1000000</v>
      </c>
      <c r="H62" s="151">
        <v>1</v>
      </c>
      <c r="I62" s="152">
        <f t="shared" si="4"/>
        <v>2235000</v>
      </c>
      <c r="J62" s="155">
        <v>1</v>
      </c>
      <c r="K62" s="155">
        <f t="shared" si="8"/>
        <v>0</v>
      </c>
      <c r="M62" s="144">
        <f t="shared" si="6"/>
        <v>2.2349999999999999</v>
      </c>
    </row>
    <row r="63" spans="1:13" s="144" customFormat="1" ht="16.5" x14ac:dyDescent="0.2">
      <c r="A63" s="145">
        <v>3</v>
      </c>
      <c r="B63" s="146" t="s">
        <v>77</v>
      </c>
      <c r="C63" s="156"/>
      <c r="D63" s="157"/>
      <c r="E63" s="174">
        <v>40.800000000000004</v>
      </c>
      <c r="F63" s="158" t="s">
        <v>180</v>
      </c>
      <c r="G63" s="152">
        <v>1100000</v>
      </c>
      <c r="H63" s="184">
        <v>0.35</v>
      </c>
      <c r="I63" s="185">
        <f t="shared" si="4"/>
        <v>15708000.000000002</v>
      </c>
      <c r="J63" s="186">
        <v>0.3</v>
      </c>
      <c r="K63" s="186">
        <f t="shared" si="8"/>
        <v>4.9999999999999989E-2</v>
      </c>
      <c r="M63" s="144">
        <f>SUM(M34:M62)</f>
        <v>76.842912499999997</v>
      </c>
    </row>
    <row r="64" spans="1:13" s="144" customFormat="1" ht="16.5" x14ac:dyDescent="0.2">
      <c r="A64" s="145"/>
      <c r="B64" s="146" t="s">
        <v>78</v>
      </c>
      <c r="C64" s="166"/>
      <c r="D64" s="157"/>
      <c r="E64" s="174">
        <v>54</v>
      </c>
      <c r="F64" s="158" t="s">
        <v>180</v>
      </c>
      <c r="G64" s="152">
        <f>G63</f>
        <v>1100000</v>
      </c>
      <c r="H64" s="184">
        <v>0.35</v>
      </c>
      <c r="I64" s="185">
        <f t="shared" si="4"/>
        <v>20790000</v>
      </c>
      <c r="J64" s="186">
        <v>0.3</v>
      </c>
      <c r="K64" s="186">
        <f t="shared" si="8"/>
        <v>4.9999999999999989E-2</v>
      </c>
    </row>
    <row r="65" spans="1:11" s="144" customFormat="1" ht="16.5" x14ac:dyDescent="0.2">
      <c r="A65" s="145"/>
      <c r="B65" s="146" t="s">
        <v>79</v>
      </c>
      <c r="C65" s="166"/>
      <c r="D65" s="157"/>
      <c r="E65" s="174">
        <v>3.2800000000000007</v>
      </c>
      <c r="F65" s="158" t="s">
        <v>180</v>
      </c>
      <c r="G65" s="152">
        <v>650000</v>
      </c>
      <c r="H65" s="151">
        <v>1</v>
      </c>
      <c r="I65" s="152">
        <f t="shared" si="4"/>
        <v>2132000.0000000005</v>
      </c>
      <c r="J65" s="155">
        <v>1</v>
      </c>
      <c r="K65" s="155">
        <f t="shared" si="8"/>
        <v>0</v>
      </c>
    </row>
    <row r="66" spans="1:11" s="144" customFormat="1" x14ac:dyDescent="0.2">
      <c r="A66" s="145">
        <v>4</v>
      </c>
      <c r="B66" s="146" t="s">
        <v>80</v>
      </c>
      <c r="C66" s="166"/>
      <c r="D66" s="157"/>
      <c r="E66" s="149"/>
      <c r="F66" s="158"/>
      <c r="G66" s="152"/>
      <c r="H66" s="151"/>
      <c r="I66" s="152"/>
    </row>
    <row r="67" spans="1:11" s="144" customFormat="1" ht="16.5" x14ac:dyDescent="0.2">
      <c r="A67" s="145"/>
      <c r="B67" s="165"/>
      <c r="C67" s="166" t="s">
        <v>81</v>
      </c>
      <c r="D67" s="157"/>
      <c r="E67" s="174">
        <v>0.37740000000000007</v>
      </c>
      <c r="F67" s="158" t="s">
        <v>180</v>
      </c>
      <c r="G67" s="152">
        <v>1900000</v>
      </c>
      <c r="H67" s="153">
        <v>0.3</v>
      </c>
      <c r="I67" s="154">
        <f t="shared" ref="I67:I72" si="9">E67*G67*H67</f>
        <v>215118.00000000003</v>
      </c>
      <c r="J67" s="155">
        <v>0.3</v>
      </c>
      <c r="K67" s="155">
        <f t="shared" ref="K67:K133" si="10">H67-J67</f>
        <v>0</v>
      </c>
    </row>
    <row r="68" spans="1:11" s="144" customFormat="1" ht="16.5" x14ac:dyDescent="0.2">
      <c r="A68" s="145"/>
      <c r="B68" s="165"/>
      <c r="C68" s="166" t="s">
        <v>82</v>
      </c>
      <c r="D68" s="157"/>
      <c r="E68" s="174">
        <v>0.44400000000000001</v>
      </c>
      <c r="F68" s="158" t="s">
        <v>180</v>
      </c>
      <c r="G68" s="152">
        <v>1900000</v>
      </c>
      <c r="H68" s="153">
        <v>0.3</v>
      </c>
      <c r="I68" s="154">
        <f t="shared" si="9"/>
        <v>253080</v>
      </c>
      <c r="J68" s="155">
        <v>0.3</v>
      </c>
      <c r="K68" s="155">
        <f t="shared" si="10"/>
        <v>0</v>
      </c>
    </row>
    <row r="69" spans="1:11" s="144" customFormat="1" ht="16.5" x14ac:dyDescent="0.2">
      <c r="A69" s="145"/>
      <c r="B69" s="165"/>
      <c r="C69" s="166" t="s">
        <v>83</v>
      </c>
      <c r="D69" s="157"/>
      <c r="E69" s="174">
        <v>6.66</v>
      </c>
      <c r="F69" s="158" t="s">
        <v>180</v>
      </c>
      <c r="G69" s="152">
        <v>1900000</v>
      </c>
      <c r="H69" s="153">
        <v>0.3</v>
      </c>
      <c r="I69" s="154">
        <f t="shared" si="9"/>
        <v>3796200</v>
      </c>
      <c r="J69" s="155">
        <v>0.3</v>
      </c>
      <c r="K69" s="155">
        <f t="shared" si="10"/>
        <v>0</v>
      </c>
    </row>
    <row r="70" spans="1:11" s="144" customFormat="1" ht="16.5" x14ac:dyDescent="0.2">
      <c r="A70" s="145"/>
      <c r="B70" s="165"/>
      <c r="C70" s="166" t="s">
        <v>84</v>
      </c>
      <c r="D70" s="157"/>
      <c r="E70" s="174">
        <v>1.3320000000000001</v>
      </c>
      <c r="F70" s="158" t="s">
        <v>180</v>
      </c>
      <c r="G70" s="152">
        <v>1900000</v>
      </c>
      <c r="H70" s="153">
        <v>0.3</v>
      </c>
      <c r="I70" s="154">
        <f t="shared" si="9"/>
        <v>759240</v>
      </c>
      <c r="J70" s="155">
        <v>0.3</v>
      </c>
      <c r="K70" s="155">
        <f t="shared" si="10"/>
        <v>0</v>
      </c>
    </row>
    <row r="71" spans="1:11" s="144" customFormat="1" ht="16.5" x14ac:dyDescent="0.2">
      <c r="A71" s="145"/>
      <c r="B71" s="165"/>
      <c r="C71" s="166" t="s">
        <v>85</v>
      </c>
      <c r="D71" s="157"/>
      <c r="E71" s="174">
        <v>1.1840000000000004</v>
      </c>
      <c r="F71" s="158" t="s">
        <v>180</v>
      </c>
      <c r="G71" s="152">
        <v>1900000</v>
      </c>
      <c r="H71" s="151"/>
      <c r="I71" s="152">
        <f t="shared" si="9"/>
        <v>0</v>
      </c>
      <c r="J71" s="155">
        <v>0</v>
      </c>
      <c r="K71" s="155">
        <f t="shared" si="10"/>
        <v>0</v>
      </c>
    </row>
    <row r="72" spans="1:11" s="144" customFormat="1" ht="16.5" x14ac:dyDescent="0.2">
      <c r="A72" s="145"/>
      <c r="B72" s="165"/>
      <c r="C72" s="175" t="s">
        <v>86</v>
      </c>
      <c r="D72" s="157"/>
      <c r="E72" s="174">
        <v>5.3280000000000003</v>
      </c>
      <c r="F72" s="158" t="s">
        <v>180</v>
      </c>
      <c r="G72" s="152">
        <v>1900000</v>
      </c>
      <c r="H72" s="151"/>
      <c r="I72" s="152">
        <f t="shared" si="9"/>
        <v>0</v>
      </c>
      <c r="J72" s="155">
        <v>0</v>
      </c>
      <c r="K72" s="155">
        <f t="shared" si="10"/>
        <v>0</v>
      </c>
    </row>
    <row r="73" spans="1:11" s="144" customFormat="1" ht="16.5" x14ac:dyDescent="0.2">
      <c r="A73" s="145"/>
      <c r="B73" s="165"/>
      <c r="C73" s="166" t="s">
        <v>87</v>
      </c>
      <c r="D73" s="157"/>
      <c r="E73" s="174">
        <v>3.9960000000000004</v>
      </c>
      <c r="F73" s="158" t="s">
        <v>180</v>
      </c>
      <c r="G73" s="152">
        <v>1750000</v>
      </c>
      <c r="H73" s="151"/>
      <c r="I73" s="152">
        <f>E73*G73*H73</f>
        <v>0</v>
      </c>
      <c r="J73" s="155">
        <v>0</v>
      </c>
      <c r="K73" s="155">
        <f t="shared" si="10"/>
        <v>0</v>
      </c>
    </row>
    <row r="74" spans="1:11" s="144" customFormat="1" ht="16.5" x14ac:dyDescent="0.2">
      <c r="A74" s="145"/>
      <c r="B74" s="165"/>
      <c r="C74" s="166" t="s">
        <v>88</v>
      </c>
      <c r="D74" s="157"/>
      <c r="E74" s="174">
        <v>10.656000000000001</v>
      </c>
      <c r="F74" s="158" t="s">
        <v>180</v>
      </c>
      <c r="G74" s="152">
        <v>1850000</v>
      </c>
      <c r="H74" s="151"/>
      <c r="I74" s="152">
        <f>E74*G74*H74</f>
        <v>0</v>
      </c>
      <c r="J74" s="155">
        <v>0</v>
      </c>
      <c r="K74" s="155">
        <f t="shared" si="10"/>
        <v>0</v>
      </c>
    </row>
    <row r="75" spans="1:11" s="144" customFormat="1" ht="16.5" x14ac:dyDescent="0.2">
      <c r="A75" s="145"/>
      <c r="B75" s="165"/>
      <c r="C75" s="166" t="s">
        <v>89</v>
      </c>
      <c r="D75" s="157"/>
      <c r="E75" s="174">
        <v>2.5914800000000002</v>
      </c>
      <c r="F75" s="158" t="s">
        <v>180</v>
      </c>
      <c r="G75" s="152">
        <v>1900000</v>
      </c>
      <c r="H75" s="153">
        <v>0.3</v>
      </c>
      <c r="I75" s="154">
        <f>E75*G75*H75</f>
        <v>1477143.5999999999</v>
      </c>
      <c r="J75" s="155">
        <v>0.3</v>
      </c>
      <c r="K75" s="155">
        <f t="shared" si="10"/>
        <v>0</v>
      </c>
    </row>
    <row r="76" spans="1:11" s="144" customFormat="1" ht="16.5" x14ac:dyDescent="0.2">
      <c r="A76" s="145"/>
      <c r="B76" s="165"/>
      <c r="C76" s="166" t="s">
        <v>90</v>
      </c>
      <c r="D76" s="157"/>
      <c r="E76" s="174">
        <v>7.1957600000000017</v>
      </c>
      <c r="F76" s="158" t="s">
        <v>180</v>
      </c>
      <c r="G76" s="152">
        <v>1900000</v>
      </c>
      <c r="H76" s="153">
        <v>0.3</v>
      </c>
      <c r="I76" s="154">
        <f t="shared" ref="I76:I81" si="11">E76*G76*H76</f>
        <v>4101583.2000000011</v>
      </c>
      <c r="J76" s="155">
        <v>0.3</v>
      </c>
      <c r="K76" s="155">
        <f t="shared" si="10"/>
        <v>0</v>
      </c>
    </row>
    <row r="77" spans="1:11" s="144" customFormat="1" ht="16.5" x14ac:dyDescent="0.2">
      <c r="A77" s="145"/>
      <c r="B77" s="165"/>
      <c r="C77" s="166" t="s">
        <v>91</v>
      </c>
      <c r="D77" s="157"/>
      <c r="E77" s="174">
        <v>1.2139700000000002</v>
      </c>
      <c r="F77" s="158" t="s">
        <v>180</v>
      </c>
      <c r="G77" s="152">
        <v>1900000</v>
      </c>
      <c r="H77" s="153">
        <v>0.3</v>
      </c>
      <c r="I77" s="154">
        <f t="shared" si="11"/>
        <v>691962.90000000014</v>
      </c>
      <c r="J77" s="155">
        <v>0.3</v>
      </c>
      <c r="K77" s="155">
        <f t="shared" si="10"/>
        <v>0</v>
      </c>
    </row>
    <row r="78" spans="1:11" s="144" customFormat="1" ht="16.5" x14ac:dyDescent="0.2">
      <c r="A78" s="145"/>
      <c r="B78" s="165"/>
      <c r="C78" s="166" t="s">
        <v>92</v>
      </c>
      <c r="D78" s="157"/>
      <c r="E78" s="174">
        <v>2.9600000000000004</v>
      </c>
      <c r="F78" s="158" t="s">
        <v>180</v>
      </c>
      <c r="G78" s="152">
        <v>1900000</v>
      </c>
      <c r="H78" s="153">
        <v>0.3</v>
      </c>
      <c r="I78" s="154">
        <f t="shared" si="11"/>
        <v>1687200.0000000002</v>
      </c>
      <c r="J78" s="155">
        <v>0.3</v>
      </c>
      <c r="K78" s="155">
        <f t="shared" si="10"/>
        <v>0</v>
      </c>
    </row>
    <row r="79" spans="1:11" s="144" customFormat="1" ht="16.5" x14ac:dyDescent="0.2">
      <c r="A79" s="145"/>
      <c r="B79" s="165"/>
      <c r="C79" s="166" t="s">
        <v>93</v>
      </c>
      <c r="D79" s="157"/>
      <c r="E79" s="174">
        <v>5.2207000000000008</v>
      </c>
      <c r="F79" s="158" t="s">
        <v>180</v>
      </c>
      <c r="G79" s="152">
        <v>1900000</v>
      </c>
      <c r="H79" s="153">
        <v>0.3</v>
      </c>
      <c r="I79" s="154">
        <f t="shared" si="11"/>
        <v>2975799.0000000005</v>
      </c>
      <c r="J79" s="155">
        <v>0.3</v>
      </c>
      <c r="K79" s="155">
        <f t="shared" si="10"/>
        <v>0</v>
      </c>
    </row>
    <row r="80" spans="1:11" s="144" customFormat="1" ht="16.5" x14ac:dyDescent="0.2">
      <c r="A80" s="145"/>
      <c r="B80" s="165"/>
      <c r="C80" s="166" t="s">
        <v>94</v>
      </c>
      <c r="D80" s="157"/>
      <c r="E80" s="174">
        <v>0.52207000000000003</v>
      </c>
      <c r="F80" s="158" t="s">
        <v>180</v>
      </c>
      <c r="G80" s="152">
        <v>1900000</v>
      </c>
      <c r="H80" s="153">
        <v>0.3</v>
      </c>
      <c r="I80" s="154">
        <f t="shared" si="11"/>
        <v>297579.90000000002</v>
      </c>
      <c r="J80" s="155">
        <v>0.3</v>
      </c>
      <c r="K80" s="155">
        <f t="shared" si="10"/>
        <v>0</v>
      </c>
    </row>
    <row r="81" spans="1:12" s="144" customFormat="1" ht="16.5" x14ac:dyDescent="0.2">
      <c r="A81" s="145"/>
      <c r="B81" s="167"/>
      <c r="C81" s="166" t="s">
        <v>95</v>
      </c>
      <c r="D81" s="157"/>
      <c r="E81" s="174">
        <v>7.26</v>
      </c>
      <c r="F81" s="158" t="s">
        <v>180</v>
      </c>
      <c r="G81" s="152">
        <v>1650000</v>
      </c>
      <c r="H81" s="153">
        <v>0.3</v>
      </c>
      <c r="I81" s="154">
        <f t="shared" si="11"/>
        <v>3593700</v>
      </c>
      <c r="J81" s="155">
        <v>0.3</v>
      </c>
      <c r="K81" s="155">
        <f t="shared" si="10"/>
        <v>0</v>
      </c>
    </row>
    <row r="82" spans="1:12" s="144" customFormat="1" ht="16.5" x14ac:dyDescent="0.2">
      <c r="A82" s="146">
        <v>5</v>
      </c>
      <c r="B82" s="146" t="s">
        <v>96</v>
      </c>
      <c r="C82" s="172"/>
      <c r="D82" s="157"/>
      <c r="E82" s="174">
        <v>4.4390400000000003</v>
      </c>
      <c r="F82" s="158" t="s">
        <v>180</v>
      </c>
      <c r="G82" s="152">
        <v>2000000</v>
      </c>
      <c r="H82" s="151">
        <v>0</v>
      </c>
      <c r="I82" s="152"/>
      <c r="J82" s="155">
        <v>0</v>
      </c>
      <c r="K82" s="155">
        <f t="shared" si="10"/>
        <v>0</v>
      </c>
    </row>
    <row r="83" spans="1:12" ht="16.5" x14ac:dyDescent="0.2">
      <c r="A83" s="42">
        <v>6</v>
      </c>
      <c r="B83" s="42" t="s">
        <v>97</v>
      </c>
      <c r="C83" s="45"/>
      <c r="D83" s="15"/>
      <c r="E83" s="43">
        <v>3.7162000000000006</v>
      </c>
      <c r="F83" s="30" t="s">
        <v>30</v>
      </c>
      <c r="G83" s="35">
        <f>G82</f>
        <v>2000000</v>
      </c>
      <c r="H83" s="34">
        <v>0</v>
      </c>
      <c r="I83" s="35">
        <f t="shared" ref="I83:I88" si="12">E83*G83*H83</f>
        <v>0</v>
      </c>
      <c r="J83" s="71">
        <v>0</v>
      </c>
      <c r="K83" s="71">
        <f t="shared" si="10"/>
        <v>0</v>
      </c>
    </row>
    <row r="84" spans="1:12" ht="16.5" x14ac:dyDescent="0.2">
      <c r="A84" s="42">
        <v>7</v>
      </c>
      <c r="B84" s="42" t="s">
        <v>98</v>
      </c>
      <c r="C84" s="41"/>
      <c r="D84" s="15"/>
      <c r="E84" s="43">
        <v>25.395874999999997</v>
      </c>
      <c r="F84" s="30" t="s">
        <v>30</v>
      </c>
      <c r="G84" s="35">
        <v>1700000</v>
      </c>
      <c r="H84" s="34">
        <v>0</v>
      </c>
      <c r="I84" s="35">
        <f t="shared" si="12"/>
        <v>0</v>
      </c>
      <c r="J84" s="71">
        <v>0</v>
      </c>
      <c r="K84" s="71">
        <f t="shared" si="10"/>
        <v>0</v>
      </c>
    </row>
    <row r="85" spans="1:12" ht="16.5" x14ac:dyDescent="0.2">
      <c r="A85" s="42">
        <v>8</v>
      </c>
      <c r="B85" s="42" t="s">
        <v>99</v>
      </c>
      <c r="C85" s="41"/>
      <c r="D85" s="15"/>
      <c r="E85" s="43">
        <v>2.4480000000000004</v>
      </c>
      <c r="F85" s="30" t="s">
        <v>30</v>
      </c>
      <c r="G85" s="35">
        <v>2100000</v>
      </c>
      <c r="H85" s="34">
        <v>0</v>
      </c>
      <c r="I85" s="35">
        <f t="shared" si="12"/>
        <v>0</v>
      </c>
      <c r="J85" s="71">
        <v>0</v>
      </c>
      <c r="K85" s="71">
        <f t="shared" si="10"/>
        <v>0</v>
      </c>
    </row>
    <row r="86" spans="1:12" ht="16.5" x14ac:dyDescent="0.2">
      <c r="A86" s="42">
        <v>9</v>
      </c>
      <c r="B86" s="42" t="s">
        <v>100</v>
      </c>
      <c r="C86" s="41"/>
      <c r="D86" s="15"/>
      <c r="E86" s="43">
        <v>92.474999999999994</v>
      </c>
      <c r="F86" s="30" t="s">
        <v>30</v>
      </c>
      <c r="G86" s="35">
        <v>300000</v>
      </c>
      <c r="H86" s="34">
        <v>0</v>
      </c>
      <c r="I86" s="35">
        <f t="shared" si="12"/>
        <v>0</v>
      </c>
      <c r="J86" s="71">
        <v>0</v>
      </c>
      <c r="K86" s="71">
        <f t="shared" si="10"/>
        <v>0</v>
      </c>
    </row>
    <row r="87" spans="1:12" ht="16.5" x14ac:dyDescent="0.2">
      <c r="A87" s="42">
        <v>10</v>
      </c>
      <c r="B87" s="42" t="s">
        <v>101</v>
      </c>
      <c r="C87" s="41"/>
      <c r="D87" s="15"/>
      <c r="E87" s="43">
        <v>4.95</v>
      </c>
      <c r="F87" s="30" t="s">
        <v>30</v>
      </c>
      <c r="G87" s="35">
        <v>1750000</v>
      </c>
      <c r="H87" s="34">
        <v>0</v>
      </c>
      <c r="I87" s="35">
        <f t="shared" si="12"/>
        <v>0</v>
      </c>
      <c r="J87" s="71">
        <v>0</v>
      </c>
      <c r="K87" s="71">
        <f t="shared" si="10"/>
        <v>0</v>
      </c>
    </row>
    <row r="88" spans="1:12" ht="16.5" x14ac:dyDescent="0.2">
      <c r="A88" s="42">
        <v>11</v>
      </c>
      <c r="B88" s="42" t="s">
        <v>102</v>
      </c>
      <c r="C88" s="41"/>
      <c r="D88" s="15"/>
      <c r="E88" s="43">
        <v>2.34</v>
      </c>
      <c r="F88" s="30" t="s">
        <v>30</v>
      </c>
      <c r="G88" s="35">
        <v>1650000</v>
      </c>
      <c r="H88" s="34">
        <v>0</v>
      </c>
      <c r="I88" s="35">
        <f t="shared" si="12"/>
        <v>0</v>
      </c>
      <c r="J88" s="71">
        <v>0</v>
      </c>
      <c r="K88" s="71">
        <f t="shared" si="10"/>
        <v>0</v>
      </c>
    </row>
    <row r="89" spans="1:12" ht="15" x14ac:dyDescent="0.25">
      <c r="A89" s="85">
        <v>12</v>
      </c>
      <c r="B89" s="86" t="s">
        <v>161</v>
      </c>
      <c r="C89" s="87"/>
      <c r="D89" s="88"/>
      <c r="E89" s="89"/>
      <c r="F89" s="90"/>
      <c r="G89" s="91"/>
      <c r="H89" s="92"/>
      <c r="I89" s="91"/>
      <c r="J89" s="100"/>
      <c r="K89" s="100"/>
      <c r="L89" s="105"/>
    </row>
    <row r="90" spans="1:12" s="58" customFormat="1" ht="16.5" x14ac:dyDescent="0.2">
      <c r="A90" s="85"/>
      <c r="B90" s="93" t="s">
        <v>162</v>
      </c>
      <c r="C90" s="94" t="s">
        <v>165</v>
      </c>
      <c r="D90" s="95"/>
      <c r="E90" s="96">
        <v>327.06</v>
      </c>
      <c r="F90" s="97" t="s">
        <v>166</v>
      </c>
      <c r="G90" s="98">
        <v>70000</v>
      </c>
      <c r="H90" s="99">
        <v>0.3</v>
      </c>
      <c r="I90" s="98">
        <v>0</v>
      </c>
      <c r="J90" s="101" t="s">
        <v>167</v>
      </c>
      <c r="K90" s="101"/>
      <c r="L90" s="104">
        <f>E90*G90*H90</f>
        <v>6868260</v>
      </c>
    </row>
    <row r="91" spans="1:12" s="58" customFormat="1" ht="16.5" x14ac:dyDescent="0.2">
      <c r="A91" s="85"/>
      <c r="B91" s="93" t="s">
        <v>163</v>
      </c>
      <c r="C91" s="94" t="s">
        <v>164</v>
      </c>
      <c r="D91" s="95"/>
      <c r="E91" s="96">
        <f>E90*2</f>
        <v>654.12</v>
      </c>
      <c r="F91" s="97" t="s">
        <v>166</v>
      </c>
      <c r="G91" s="98">
        <v>45000</v>
      </c>
      <c r="H91" s="99">
        <v>0.1</v>
      </c>
      <c r="I91" s="98">
        <v>0</v>
      </c>
      <c r="J91" s="101"/>
      <c r="K91" s="101"/>
      <c r="L91" s="104">
        <f>E91*G91*H91</f>
        <v>2943540</v>
      </c>
    </row>
    <row r="92" spans="1:12" x14ac:dyDescent="0.2">
      <c r="A92" s="33"/>
      <c r="B92" s="39"/>
      <c r="C92" s="25"/>
      <c r="D92" s="26"/>
      <c r="E92" s="32"/>
      <c r="F92" s="30"/>
      <c r="G92" s="35"/>
      <c r="H92" s="34"/>
      <c r="I92" s="35"/>
      <c r="J92" s="84">
        <v>0.35</v>
      </c>
      <c r="K92" s="84">
        <f t="shared" si="10"/>
        <v>-0.35</v>
      </c>
    </row>
    <row r="93" spans="1:12" hidden="1" x14ac:dyDescent="0.2">
      <c r="A93" s="18" t="s">
        <v>103</v>
      </c>
      <c r="B93" s="19" t="s">
        <v>122</v>
      </c>
      <c r="C93" s="20"/>
      <c r="D93" s="21"/>
      <c r="E93" s="46"/>
      <c r="F93" s="46"/>
      <c r="G93" s="46"/>
      <c r="H93" s="47"/>
      <c r="I93" s="47"/>
      <c r="J93" s="84">
        <v>0.35</v>
      </c>
      <c r="K93" s="84">
        <f t="shared" si="10"/>
        <v>-0.35</v>
      </c>
    </row>
    <row r="94" spans="1:12" ht="15" hidden="1" x14ac:dyDescent="0.25">
      <c r="A94" s="33"/>
      <c r="B94" s="57"/>
      <c r="C94" s="25"/>
      <c r="D94" s="26"/>
      <c r="E94" s="27"/>
      <c r="F94" s="27"/>
      <c r="G94" s="27"/>
      <c r="H94" s="28"/>
      <c r="I94" s="29"/>
      <c r="J94" s="84">
        <v>0.35</v>
      </c>
      <c r="K94" s="84">
        <f t="shared" si="10"/>
        <v>-0.35</v>
      </c>
    </row>
    <row r="95" spans="1:12" hidden="1" x14ac:dyDescent="0.2">
      <c r="A95" s="33">
        <v>1</v>
      </c>
      <c r="B95" s="42" t="s">
        <v>123</v>
      </c>
      <c r="C95" s="25"/>
      <c r="D95" s="26"/>
      <c r="E95" s="48"/>
      <c r="F95" s="33"/>
      <c r="G95" s="28"/>
      <c r="H95" s="34"/>
      <c r="I95" s="35">
        <f t="shared" ref="I95:I149" si="13">E95*G95*H95</f>
        <v>0</v>
      </c>
      <c r="J95" s="84">
        <v>0.35</v>
      </c>
      <c r="K95" s="84">
        <f t="shared" si="10"/>
        <v>-0.35</v>
      </c>
    </row>
    <row r="96" spans="1:12" ht="16.5" hidden="1" x14ac:dyDescent="0.2">
      <c r="A96" s="30"/>
      <c r="B96" s="57"/>
      <c r="C96" s="44" t="s">
        <v>124</v>
      </c>
      <c r="D96" s="15"/>
      <c r="E96" s="43">
        <v>0.33074999999999999</v>
      </c>
      <c r="F96" s="30" t="s">
        <v>30</v>
      </c>
      <c r="G96" s="35">
        <v>1600000</v>
      </c>
      <c r="H96" s="34">
        <v>0</v>
      </c>
      <c r="I96" s="35">
        <f t="shared" si="13"/>
        <v>0</v>
      </c>
      <c r="J96" s="84">
        <v>0.35</v>
      </c>
      <c r="K96" s="84">
        <f t="shared" si="10"/>
        <v>-0.35</v>
      </c>
    </row>
    <row r="97" spans="1:11" ht="16.5" hidden="1" x14ac:dyDescent="0.2">
      <c r="A97" s="30"/>
      <c r="B97" s="57"/>
      <c r="C97" s="44" t="s">
        <v>125</v>
      </c>
      <c r="D97" s="44"/>
      <c r="E97" s="43">
        <v>0.13200000000000001</v>
      </c>
      <c r="F97" s="30" t="s">
        <v>30</v>
      </c>
      <c r="G97" s="35">
        <v>1600000</v>
      </c>
      <c r="H97" s="34">
        <v>0</v>
      </c>
      <c r="I97" s="35">
        <f t="shared" si="13"/>
        <v>0</v>
      </c>
      <c r="J97" s="84">
        <v>0.35</v>
      </c>
      <c r="K97" s="84">
        <f t="shared" si="10"/>
        <v>-0.35</v>
      </c>
    </row>
    <row r="98" spans="1:11" ht="16.5" hidden="1" x14ac:dyDescent="0.2">
      <c r="A98" s="30"/>
      <c r="B98" s="57"/>
      <c r="C98" s="44" t="s">
        <v>126</v>
      </c>
      <c r="D98" s="44"/>
      <c r="E98" s="43">
        <v>6.0760000000000005</v>
      </c>
      <c r="F98" s="30" t="s">
        <v>30</v>
      </c>
      <c r="G98" s="35">
        <v>1600000</v>
      </c>
      <c r="H98" s="34">
        <v>0</v>
      </c>
      <c r="I98" s="35">
        <f t="shared" si="13"/>
        <v>0</v>
      </c>
      <c r="J98" s="84">
        <v>0.35</v>
      </c>
      <c r="K98" s="84">
        <f t="shared" si="10"/>
        <v>-0.35</v>
      </c>
    </row>
    <row r="99" spans="1:11" ht="16.5" hidden="1" x14ac:dyDescent="0.2">
      <c r="A99" s="30"/>
      <c r="B99" s="57"/>
      <c r="C99" s="44" t="s">
        <v>127</v>
      </c>
      <c r="D99" s="44"/>
      <c r="E99" s="43">
        <v>1.6879999999999999</v>
      </c>
      <c r="F99" s="30" t="s">
        <v>30</v>
      </c>
      <c r="G99" s="35">
        <v>1600000</v>
      </c>
      <c r="H99" s="34">
        <v>0</v>
      </c>
      <c r="I99" s="35">
        <f t="shared" si="13"/>
        <v>0</v>
      </c>
      <c r="J99" s="84">
        <v>0.35</v>
      </c>
      <c r="K99" s="84">
        <f t="shared" si="10"/>
        <v>-0.35</v>
      </c>
    </row>
    <row r="100" spans="1:11" ht="16.5" hidden="1" x14ac:dyDescent="0.2">
      <c r="A100" s="30"/>
      <c r="B100" s="57"/>
      <c r="C100" s="44" t="s">
        <v>128</v>
      </c>
      <c r="D100" s="44"/>
      <c r="E100" s="43">
        <v>2.4680000000000004</v>
      </c>
      <c r="F100" s="30" t="s">
        <v>30</v>
      </c>
      <c r="G100" s="35">
        <v>1600000</v>
      </c>
      <c r="H100" s="34">
        <v>0</v>
      </c>
      <c r="I100" s="35">
        <f t="shared" si="13"/>
        <v>0</v>
      </c>
      <c r="J100" s="84">
        <v>0.35</v>
      </c>
      <c r="K100" s="84">
        <f t="shared" si="10"/>
        <v>-0.35</v>
      </c>
    </row>
    <row r="101" spans="1:11" ht="16.5" hidden="1" x14ac:dyDescent="0.2">
      <c r="A101" s="30"/>
      <c r="B101" s="57"/>
      <c r="C101" s="44" t="s">
        <v>129</v>
      </c>
      <c r="D101" s="44"/>
      <c r="E101" s="43">
        <v>1.3920000000000001</v>
      </c>
      <c r="F101" s="30" t="s">
        <v>30</v>
      </c>
      <c r="G101" s="35">
        <v>1600000</v>
      </c>
      <c r="H101" s="34">
        <v>0</v>
      </c>
      <c r="I101" s="35">
        <f t="shared" si="13"/>
        <v>0</v>
      </c>
      <c r="J101" s="84">
        <v>0.35</v>
      </c>
      <c r="K101" s="84">
        <f t="shared" si="10"/>
        <v>-0.35</v>
      </c>
    </row>
    <row r="102" spans="1:11" ht="16.5" hidden="1" x14ac:dyDescent="0.2">
      <c r="A102" s="30"/>
      <c r="B102" s="57"/>
      <c r="C102" s="44" t="s">
        <v>130</v>
      </c>
      <c r="D102" s="44"/>
      <c r="E102" s="43">
        <v>5.7330000000000014</v>
      </c>
      <c r="F102" s="30" t="s">
        <v>30</v>
      </c>
      <c r="G102" s="35">
        <v>1600000</v>
      </c>
      <c r="H102" s="34">
        <v>0</v>
      </c>
      <c r="I102" s="35">
        <f t="shared" si="13"/>
        <v>0</v>
      </c>
      <c r="J102" s="84">
        <v>0.35</v>
      </c>
      <c r="K102" s="84">
        <f t="shared" si="10"/>
        <v>-0.35</v>
      </c>
    </row>
    <row r="103" spans="1:11" ht="16.5" hidden="1" x14ac:dyDescent="0.2">
      <c r="A103" s="30"/>
      <c r="B103" s="57"/>
      <c r="C103" s="44" t="s">
        <v>131</v>
      </c>
      <c r="D103" s="44"/>
      <c r="E103" s="43">
        <v>4.4414999999999996</v>
      </c>
      <c r="F103" s="30" t="s">
        <v>30</v>
      </c>
      <c r="G103" s="35">
        <v>1600000</v>
      </c>
      <c r="H103" s="34">
        <v>0</v>
      </c>
      <c r="I103" s="35">
        <f t="shared" si="13"/>
        <v>0</v>
      </c>
      <c r="J103" s="84">
        <v>0.35</v>
      </c>
      <c r="K103" s="84">
        <f t="shared" si="10"/>
        <v>-0.35</v>
      </c>
    </row>
    <row r="104" spans="1:11" ht="16.5" hidden="1" x14ac:dyDescent="0.2">
      <c r="A104" s="30"/>
      <c r="B104" s="72"/>
      <c r="C104" s="44" t="s">
        <v>132</v>
      </c>
      <c r="D104" s="44"/>
      <c r="E104" s="43">
        <v>0.32400000000000007</v>
      </c>
      <c r="F104" s="30" t="s">
        <v>30</v>
      </c>
      <c r="G104" s="47">
        <f>G103</f>
        <v>1600000</v>
      </c>
      <c r="H104" s="34">
        <v>0</v>
      </c>
      <c r="I104" s="35">
        <f t="shared" si="13"/>
        <v>0</v>
      </c>
      <c r="J104" s="84">
        <v>0.35</v>
      </c>
      <c r="K104" s="84">
        <f t="shared" si="10"/>
        <v>-0.35</v>
      </c>
    </row>
    <row r="105" spans="1:11" ht="16.5" hidden="1" x14ac:dyDescent="0.2">
      <c r="A105" s="30"/>
      <c r="B105" s="73"/>
      <c r="C105" s="44" t="s">
        <v>133</v>
      </c>
      <c r="D105" s="44"/>
      <c r="E105" s="43">
        <v>4.2200000000000006</v>
      </c>
      <c r="F105" s="30" t="s">
        <v>30</v>
      </c>
      <c r="G105" s="28">
        <f>G104</f>
        <v>1600000</v>
      </c>
      <c r="H105" s="34">
        <v>0</v>
      </c>
      <c r="I105" s="35">
        <f t="shared" si="13"/>
        <v>0</v>
      </c>
      <c r="J105" s="84">
        <v>0.35</v>
      </c>
      <c r="K105" s="84">
        <f t="shared" si="10"/>
        <v>-0.35</v>
      </c>
    </row>
    <row r="106" spans="1:11" ht="16.5" hidden="1" x14ac:dyDescent="0.2">
      <c r="A106" s="30"/>
      <c r="B106" s="57"/>
      <c r="C106" s="44" t="s">
        <v>134</v>
      </c>
      <c r="D106" s="44"/>
      <c r="E106" s="43">
        <v>1.08</v>
      </c>
      <c r="F106" s="30" t="s">
        <v>30</v>
      </c>
      <c r="G106" s="28">
        <f t="shared" ref="G106:G126" si="14">G105</f>
        <v>1600000</v>
      </c>
      <c r="H106" s="34">
        <v>0</v>
      </c>
      <c r="I106" s="35">
        <f t="shared" si="13"/>
        <v>0</v>
      </c>
      <c r="J106" s="84">
        <v>0.35</v>
      </c>
      <c r="K106" s="84">
        <f t="shared" si="10"/>
        <v>-0.35</v>
      </c>
    </row>
    <row r="107" spans="1:11" ht="16.5" hidden="1" x14ac:dyDescent="0.2">
      <c r="A107" s="30"/>
      <c r="B107" s="57"/>
      <c r="C107" s="44" t="s">
        <v>135</v>
      </c>
      <c r="D107" s="44"/>
      <c r="E107" s="43">
        <v>3.2</v>
      </c>
      <c r="F107" s="30" t="s">
        <v>30</v>
      </c>
      <c r="G107" s="28">
        <f t="shared" si="14"/>
        <v>1600000</v>
      </c>
      <c r="H107" s="34">
        <v>0</v>
      </c>
      <c r="I107" s="35">
        <f t="shared" si="13"/>
        <v>0</v>
      </c>
      <c r="J107" s="84">
        <v>0.35</v>
      </c>
      <c r="K107" s="84">
        <f t="shared" si="10"/>
        <v>-0.35</v>
      </c>
    </row>
    <row r="108" spans="1:11" ht="16.5" hidden="1" x14ac:dyDescent="0.2">
      <c r="A108" s="30"/>
      <c r="B108" s="57"/>
      <c r="C108" s="44" t="s">
        <v>136</v>
      </c>
      <c r="D108" s="44"/>
      <c r="E108" s="43">
        <v>6.2600000000000016</v>
      </c>
      <c r="F108" s="30" t="s">
        <v>30</v>
      </c>
      <c r="G108" s="28">
        <f t="shared" si="14"/>
        <v>1600000</v>
      </c>
      <c r="H108" s="34">
        <v>0</v>
      </c>
      <c r="I108" s="35">
        <f t="shared" si="13"/>
        <v>0</v>
      </c>
      <c r="J108" s="84">
        <v>0.35</v>
      </c>
      <c r="K108" s="84">
        <f t="shared" si="10"/>
        <v>-0.35</v>
      </c>
    </row>
    <row r="109" spans="1:11" ht="16.5" hidden="1" x14ac:dyDescent="0.2">
      <c r="A109" s="30"/>
      <c r="B109" s="57"/>
      <c r="C109" s="44" t="s">
        <v>137</v>
      </c>
      <c r="D109" s="44"/>
      <c r="E109" s="43">
        <v>0.94000000000000006</v>
      </c>
      <c r="F109" s="30" t="s">
        <v>30</v>
      </c>
      <c r="G109" s="28">
        <f t="shared" si="14"/>
        <v>1600000</v>
      </c>
      <c r="H109" s="34">
        <v>0</v>
      </c>
      <c r="I109" s="35">
        <f t="shared" si="13"/>
        <v>0</v>
      </c>
      <c r="J109" s="84">
        <v>0.35</v>
      </c>
      <c r="K109" s="84">
        <f t="shared" si="10"/>
        <v>-0.35</v>
      </c>
    </row>
    <row r="110" spans="1:11" ht="16.5" hidden="1" x14ac:dyDescent="0.2">
      <c r="A110" s="30"/>
      <c r="B110" s="57"/>
      <c r="C110" s="44" t="s">
        <v>138</v>
      </c>
      <c r="D110" s="44"/>
      <c r="E110" s="43">
        <v>5.4249999999999989</v>
      </c>
      <c r="F110" s="30" t="s">
        <v>30</v>
      </c>
      <c r="G110" s="28">
        <f t="shared" si="14"/>
        <v>1600000</v>
      </c>
      <c r="H110" s="34">
        <v>0</v>
      </c>
      <c r="I110" s="35">
        <f t="shared" si="13"/>
        <v>0</v>
      </c>
      <c r="J110" s="84">
        <v>0.35</v>
      </c>
      <c r="K110" s="84">
        <f t="shared" si="10"/>
        <v>-0.35</v>
      </c>
    </row>
    <row r="111" spans="1:11" ht="16.5" hidden="1" x14ac:dyDescent="0.2">
      <c r="A111" s="30"/>
      <c r="B111" s="57"/>
      <c r="C111" s="44" t="s">
        <v>139</v>
      </c>
      <c r="D111" s="44"/>
      <c r="E111" s="43">
        <v>1.125</v>
      </c>
      <c r="F111" s="30" t="s">
        <v>30</v>
      </c>
      <c r="G111" s="28">
        <f t="shared" si="14"/>
        <v>1600000</v>
      </c>
      <c r="H111" s="34">
        <v>0</v>
      </c>
      <c r="I111" s="35">
        <f t="shared" si="13"/>
        <v>0</v>
      </c>
      <c r="J111" s="84">
        <v>0.35</v>
      </c>
      <c r="K111" s="84">
        <f t="shared" si="10"/>
        <v>-0.35</v>
      </c>
    </row>
    <row r="112" spans="1:11" ht="16.5" hidden="1" x14ac:dyDescent="0.2">
      <c r="A112" s="30"/>
      <c r="B112" s="57"/>
      <c r="C112" s="44" t="s">
        <v>140</v>
      </c>
      <c r="D112" s="44"/>
      <c r="E112" s="43">
        <v>1.1100000000000001</v>
      </c>
      <c r="F112" s="30" t="s">
        <v>30</v>
      </c>
      <c r="G112" s="28">
        <f t="shared" si="14"/>
        <v>1600000</v>
      </c>
      <c r="H112" s="34">
        <v>0</v>
      </c>
      <c r="I112" s="35">
        <f t="shared" si="13"/>
        <v>0</v>
      </c>
      <c r="J112" s="84">
        <v>0.35</v>
      </c>
      <c r="K112" s="84">
        <f t="shared" si="10"/>
        <v>-0.35</v>
      </c>
    </row>
    <row r="113" spans="1:11" ht="16.5" hidden="1" x14ac:dyDescent="0.2">
      <c r="A113" s="30"/>
      <c r="B113" s="57"/>
      <c r="C113" s="44" t="s">
        <v>141</v>
      </c>
      <c r="D113" s="44"/>
      <c r="E113" s="43">
        <v>9.0539999999999985</v>
      </c>
      <c r="F113" s="30" t="s">
        <v>30</v>
      </c>
      <c r="G113" s="28">
        <f t="shared" si="14"/>
        <v>1600000</v>
      </c>
      <c r="H113" s="34">
        <v>0</v>
      </c>
      <c r="I113" s="35">
        <f t="shared" si="13"/>
        <v>0</v>
      </c>
      <c r="J113" s="84">
        <v>0.35</v>
      </c>
      <c r="K113" s="84">
        <f t="shared" si="10"/>
        <v>-0.35</v>
      </c>
    </row>
    <row r="114" spans="1:11" ht="16.5" hidden="1" x14ac:dyDescent="0.2">
      <c r="A114" s="30"/>
      <c r="B114" s="57"/>
      <c r="C114" s="44" t="s">
        <v>142</v>
      </c>
      <c r="D114" s="44"/>
      <c r="E114" s="43">
        <v>4.5809999999999995</v>
      </c>
      <c r="F114" s="30" t="s">
        <v>30</v>
      </c>
      <c r="G114" s="28">
        <f t="shared" si="14"/>
        <v>1600000</v>
      </c>
      <c r="H114" s="34">
        <v>0</v>
      </c>
      <c r="I114" s="35">
        <f t="shared" si="13"/>
        <v>0</v>
      </c>
      <c r="J114" s="84">
        <v>0.35</v>
      </c>
      <c r="K114" s="84">
        <f t="shared" si="10"/>
        <v>-0.35</v>
      </c>
    </row>
    <row r="115" spans="1:11" ht="16.5" hidden="1" x14ac:dyDescent="0.2">
      <c r="A115" s="30"/>
      <c r="B115" s="57"/>
      <c r="C115" s="44" t="s">
        <v>143</v>
      </c>
      <c r="D115" s="44"/>
      <c r="E115" s="43">
        <v>8.8800000000000008</v>
      </c>
      <c r="F115" s="30" t="s">
        <v>30</v>
      </c>
      <c r="G115" s="28">
        <f t="shared" si="14"/>
        <v>1600000</v>
      </c>
      <c r="H115" s="34">
        <v>0</v>
      </c>
      <c r="I115" s="35">
        <f t="shared" si="13"/>
        <v>0</v>
      </c>
      <c r="J115" s="84">
        <v>0.35</v>
      </c>
      <c r="K115" s="84">
        <f t="shared" si="10"/>
        <v>-0.35</v>
      </c>
    </row>
    <row r="116" spans="1:11" ht="17.25" hidden="1" x14ac:dyDescent="0.25">
      <c r="A116" s="23"/>
      <c r="B116" s="57"/>
      <c r="C116" s="44" t="s">
        <v>144</v>
      </c>
      <c r="D116" s="44"/>
      <c r="E116" s="43">
        <v>21.24</v>
      </c>
      <c r="F116" s="30" t="s">
        <v>30</v>
      </c>
      <c r="G116" s="28">
        <f t="shared" si="14"/>
        <v>1600000</v>
      </c>
      <c r="H116" s="34">
        <v>0</v>
      </c>
      <c r="I116" s="35">
        <f t="shared" si="13"/>
        <v>0</v>
      </c>
      <c r="J116" s="84">
        <v>0.35</v>
      </c>
      <c r="K116" s="84">
        <f t="shared" si="10"/>
        <v>-0.35</v>
      </c>
    </row>
    <row r="117" spans="1:11" ht="16.5" hidden="1" x14ac:dyDescent="0.2">
      <c r="A117" s="33"/>
      <c r="B117" s="57"/>
      <c r="C117" s="44" t="s">
        <v>145</v>
      </c>
      <c r="D117" s="44"/>
      <c r="E117" s="43">
        <v>1.2</v>
      </c>
      <c r="F117" s="30" t="s">
        <v>30</v>
      </c>
      <c r="G117" s="28">
        <f t="shared" si="14"/>
        <v>1600000</v>
      </c>
      <c r="H117" s="34">
        <v>0</v>
      </c>
      <c r="I117" s="35">
        <f t="shared" si="13"/>
        <v>0</v>
      </c>
      <c r="J117" s="84">
        <v>0.35</v>
      </c>
      <c r="K117" s="84">
        <f t="shared" si="10"/>
        <v>-0.35</v>
      </c>
    </row>
    <row r="118" spans="1:11" ht="16.5" hidden="1" x14ac:dyDescent="0.2">
      <c r="A118" s="30"/>
      <c r="B118" s="57"/>
      <c r="C118" s="44" t="s">
        <v>146</v>
      </c>
      <c r="D118" s="44"/>
      <c r="E118" s="43">
        <v>6.9120000000000008</v>
      </c>
      <c r="F118" s="30" t="s">
        <v>30</v>
      </c>
      <c r="G118" s="28">
        <f t="shared" si="14"/>
        <v>1600000</v>
      </c>
      <c r="H118" s="34">
        <v>0</v>
      </c>
      <c r="I118" s="35">
        <f t="shared" si="13"/>
        <v>0</v>
      </c>
      <c r="J118" s="84">
        <v>0.35</v>
      </c>
      <c r="K118" s="84">
        <f t="shared" si="10"/>
        <v>-0.35</v>
      </c>
    </row>
    <row r="119" spans="1:11" ht="16.5" hidden="1" x14ac:dyDescent="0.2">
      <c r="A119" s="30"/>
      <c r="B119" s="57"/>
      <c r="C119" s="44" t="s">
        <v>125</v>
      </c>
      <c r="D119" s="44"/>
      <c r="E119" s="43">
        <v>7.53</v>
      </c>
      <c r="F119" s="30" t="s">
        <v>30</v>
      </c>
      <c r="G119" s="28">
        <f t="shared" si="14"/>
        <v>1600000</v>
      </c>
      <c r="H119" s="34">
        <v>0</v>
      </c>
      <c r="I119" s="35">
        <f t="shared" si="13"/>
        <v>0</v>
      </c>
      <c r="J119" s="84">
        <v>0.35</v>
      </c>
      <c r="K119" s="84">
        <f t="shared" si="10"/>
        <v>-0.35</v>
      </c>
    </row>
    <row r="120" spans="1:11" ht="16.5" hidden="1" x14ac:dyDescent="0.2">
      <c r="A120" s="30"/>
      <c r="B120" s="57"/>
      <c r="C120" s="44" t="s">
        <v>126</v>
      </c>
      <c r="D120" s="44"/>
      <c r="E120" s="43">
        <v>8.56</v>
      </c>
      <c r="F120" s="30" t="s">
        <v>30</v>
      </c>
      <c r="G120" s="28">
        <f t="shared" si="14"/>
        <v>1600000</v>
      </c>
      <c r="H120" s="34">
        <v>0</v>
      </c>
      <c r="I120" s="35">
        <f t="shared" si="13"/>
        <v>0</v>
      </c>
      <c r="J120" s="84">
        <v>0.35</v>
      </c>
      <c r="K120" s="84">
        <f t="shared" si="10"/>
        <v>-0.35</v>
      </c>
    </row>
    <row r="121" spans="1:11" ht="16.5" hidden="1" x14ac:dyDescent="0.2">
      <c r="A121" s="30"/>
      <c r="B121" s="57"/>
      <c r="C121" s="44" t="s">
        <v>127</v>
      </c>
      <c r="D121" s="44"/>
      <c r="E121" s="43">
        <v>2.52</v>
      </c>
      <c r="F121" s="30" t="s">
        <v>30</v>
      </c>
      <c r="G121" s="28">
        <f t="shared" si="14"/>
        <v>1600000</v>
      </c>
      <c r="H121" s="34">
        <v>0</v>
      </c>
      <c r="I121" s="35">
        <f t="shared" si="13"/>
        <v>0</v>
      </c>
      <c r="J121" s="84">
        <v>0.35</v>
      </c>
      <c r="K121" s="84">
        <f t="shared" si="10"/>
        <v>-0.35</v>
      </c>
    </row>
    <row r="122" spans="1:11" ht="16.5" hidden="1" x14ac:dyDescent="0.2">
      <c r="A122" s="30"/>
      <c r="B122" s="57"/>
      <c r="C122" s="44" t="s">
        <v>128</v>
      </c>
      <c r="D122" s="44"/>
      <c r="E122" s="43">
        <v>0.28800000000000009</v>
      </c>
      <c r="F122" s="30" t="s">
        <v>30</v>
      </c>
      <c r="G122" s="28">
        <f t="shared" si="14"/>
        <v>1600000</v>
      </c>
      <c r="H122" s="34">
        <v>0</v>
      </c>
      <c r="I122" s="35">
        <f t="shared" si="13"/>
        <v>0</v>
      </c>
      <c r="J122" s="84">
        <v>0.35</v>
      </c>
      <c r="K122" s="84">
        <f t="shared" si="10"/>
        <v>-0.35</v>
      </c>
    </row>
    <row r="123" spans="1:11" ht="16.5" hidden="1" x14ac:dyDescent="0.2">
      <c r="A123" s="30"/>
      <c r="B123" s="57"/>
      <c r="C123" s="44" t="s">
        <v>129</v>
      </c>
      <c r="D123" s="44"/>
      <c r="E123" s="43">
        <v>0.17600000000000005</v>
      </c>
      <c r="F123" s="30" t="s">
        <v>30</v>
      </c>
      <c r="G123" s="28">
        <f t="shared" si="14"/>
        <v>1600000</v>
      </c>
      <c r="H123" s="34">
        <v>0</v>
      </c>
      <c r="I123" s="35">
        <f t="shared" si="13"/>
        <v>0</v>
      </c>
      <c r="J123" s="84">
        <v>0.35</v>
      </c>
      <c r="K123" s="84">
        <f t="shared" si="10"/>
        <v>-0.35</v>
      </c>
    </row>
    <row r="124" spans="1:11" ht="16.5" hidden="1" x14ac:dyDescent="0.2">
      <c r="A124" s="30"/>
      <c r="B124" s="57"/>
      <c r="C124" s="44" t="s">
        <v>130</v>
      </c>
      <c r="D124" s="44"/>
      <c r="E124" s="43">
        <v>0.78000000000000014</v>
      </c>
      <c r="F124" s="30" t="s">
        <v>30</v>
      </c>
      <c r="G124" s="28">
        <f t="shared" si="14"/>
        <v>1600000</v>
      </c>
      <c r="H124" s="34">
        <v>0</v>
      </c>
      <c r="I124" s="35">
        <f t="shared" si="13"/>
        <v>0</v>
      </c>
      <c r="J124" s="84">
        <v>0.35</v>
      </c>
      <c r="K124" s="84">
        <f t="shared" si="10"/>
        <v>-0.35</v>
      </c>
    </row>
    <row r="125" spans="1:11" ht="16.5" hidden="1" x14ac:dyDescent="0.2">
      <c r="A125" s="30"/>
      <c r="B125" s="57"/>
      <c r="C125" s="44" t="s">
        <v>131</v>
      </c>
      <c r="D125" s="44"/>
      <c r="E125" s="43">
        <v>0.66</v>
      </c>
      <c r="F125" s="30" t="s">
        <v>30</v>
      </c>
      <c r="G125" s="28">
        <f t="shared" si="14"/>
        <v>1600000</v>
      </c>
      <c r="H125" s="34">
        <v>0</v>
      </c>
      <c r="I125" s="35">
        <f t="shared" si="13"/>
        <v>0</v>
      </c>
      <c r="J125" s="84">
        <v>0.35</v>
      </c>
      <c r="K125" s="84">
        <f t="shared" si="10"/>
        <v>-0.35</v>
      </c>
    </row>
    <row r="126" spans="1:11" ht="16.5" hidden="1" x14ac:dyDescent="0.2">
      <c r="A126" s="30"/>
      <c r="B126" s="57"/>
      <c r="C126" s="44" t="s">
        <v>132</v>
      </c>
      <c r="D126" s="44"/>
      <c r="E126" s="43">
        <v>0.75600000000000001</v>
      </c>
      <c r="F126" s="30" t="s">
        <v>30</v>
      </c>
      <c r="G126" s="28">
        <f t="shared" si="14"/>
        <v>1600000</v>
      </c>
      <c r="H126" s="34">
        <v>0</v>
      </c>
      <c r="I126" s="35">
        <f t="shared" si="13"/>
        <v>0</v>
      </c>
      <c r="J126" s="84">
        <v>0.35</v>
      </c>
      <c r="K126" s="84">
        <f t="shared" si="10"/>
        <v>-0.35</v>
      </c>
    </row>
    <row r="127" spans="1:11" ht="16.5" hidden="1" x14ac:dyDescent="0.2">
      <c r="A127" s="30"/>
      <c r="B127" s="57"/>
      <c r="C127" s="44" t="s">
        <v>133</v>
      </c>
      <c r="D127" s="44"/>
      <c r="E127" s="43">
        <v>4.3520000000000003</v>
      </c>
      <c r="F127" s="30" t="s">
        <v>30</v>
      </c>
      <c r="G127" s="28">
        <v>2200000</v>
      </c>
      <c r="H127" s="34">
        <v>0</v>
      </c>
      <c r="I127" s="35">
        <f t="shared" si="13"/>
        <v>0</v>
      </c>
      <c r="J127" s="84">
        <v>0.35</v>
      </c>
      <c r="K127" s="84">
        <f t="shared" si="10"/>
        <v>-0.35</v>
      </c>
    </row>
    <row r="128" spans="1:11" ht="16.5" hidden="1" x14ac:dyDescent="0.2">
      <c r="A128" s="30">
        <v>2</v>
      </c>
      <c r="B128" s="42" t="s">
        <v>147</v>
      </c>
      <c r="C128" s="42"/>
      <c r="D128" s="15"/>
      <c r="E128" s="43">
        <v>11.849999999999998</v>
      </c>
      <c r="F128" s="30" t="s">
        <v>30</v>
      </c>
      <c r="G128" s="35">
        <f>[2]A!$F$61</f>
        <v>1100000</v>
      </c>
      <c r="H128" s="34">
        <v>0</v>
      </c>
      <c r="I128" s="35">
        <f t="shared" si="13"/>
        <v>0</v>
      </c>
      <c r="J128" s="84">
        <v>0.35</v>
      </c>
      <c r="K128" s="84">
        <f t="shared" si="10"/>
        <v>-0.35</v>
      </c>
    </row>
    <row r="129" spans="1:11" ht="16.5" hidden="1" x14ac:dyDescent="0.2">
      <c r="A129" s="30">
        <v>3</v>
      </c>
      <c r="B129" s="42" t="s">
        <v>148</v>
      </c>
      <c r="C129" s="42"/>
      <c r="D129" s="15"/>
      <c r="E129" s="43">
        <v>61.496499999999997</v>
      </c>
      <c r="F129" s="30" t="s">
        <v>30</v>
      </c>
      <c r="G129" s="35">
        <f>G128</f>
        <v>1100000</v>
      </c>
      <c r="H129" s="34">
        <v>0</v>
      </c>
      <c r="I129" s="35">
        <f t="shared" si="13"/>
        <v>0</v>
      </c>
      <c r="J129" s="84">
        <v>0.35</v>
      </c>
      <c r="K129" s="84">
        <f t="shared" si="10"/>
        <v>-0.35</v>
      </c>
    </row>
    <row r="130" spans="1:11" ht="16.5" hidden="1" x14ac:dyDescent="0.2">
      <c r="A130" s="30"/>
      <c r="B130" s="42" t="s">
        <v>149</v>
      </c>
      <c r="C130" s="42"/>
      <c r="D130" s="15"/>
      <c r="E130" s="43">
        <v>14.25</v>
      </c>
      <c r="F130" s="30" t="s">
        <v>30</v>
      </c>
      <c r="G130" s="35">
        <f>G128</f>
        <v>1100000</v>
      </c>
      <c r="H130" s="34">
        <v>0</v>
      </c>
      <c r="I130" s="35">
        <f t="shared" si="13"/>
        <v>0</v>
      </c>
      <c r="J130" s="84">
        <v>0.35</v>
      </c>
      <c r="K130" s="84">
        <f t="shared" si="10"/>
        <v>-0.35</v>
      </c>
    </row>
    <row r="131" spans="1:11" ht="16.5" hidden="1" x14ac:dyDescent="0.2">
      <c r="A131" s="30">
        <v>4</v>
      </c>
      <c r="B131" s="42" t="s">
        <v>150</v>
      </c>
      <c r="C131" s="42"/>
      <c r="D131" s="15"/>
      <c r="E131" s="43">
        <v>3.4320000000000004</v>
      </c>
      <c r="F131" s="30" t="s">
        <v>30</v>
      </c>
      <c r="G131" s="35">
        <v>2200000</v>
      </c>
      <c r="H131" s="34">
        <v>0</v>
      </c>
      <c r="I131" s="35">
        <f t="shared" si="13"/>
        <v>0</v>
      </c>
      <c r="J131" s="84">
        <v>0.35</v>
      </c>
      <c r="K131" s="84">
        <f t="shared" si="10"/>
        <v>-0.35</v>
      </c>
    </row>
    <row r="132" spans="1:11" hidden="1" x14ac:dyDescent="0.2">
      <c r="A132" s="30">
        <v>5</v>
      </c>
      <c r="B132" s="42" t="s">
        <v>80</v>
      </c>
      <c r="C132" s="42"/>
      <c r="D132" s="15"/>
      <c r="E132" s="43"/>
      <c r="F132" s="30"/>
      <c r="G132" s="59"/>
      <c r="H132" s="34"/>
      <c r="I132" s="35"/>
      <c r="J132" s="84">
        <v>0.35</v>
      </c>
      <c r="K132" s="84">
        <f t="shared" si="10"/>
        <v>-0.35</v>
      </c>
    </row>
    <row r="133" spans="1:11" ht="16.5" hidden="1" x14ac:dyDescent="0.2">
      <c r="A133" s="30"/>
      <c r="B133" s="57"/>
      <c r="C133" s="44" t="s">
        <v>151</v>
      </c>
      <c r="D133" s="44"/>
      <c r="E133" s="43">
        <v>0.30600000000000005</v>
      </c>
      <c r="F133" s="30" t="s">
        <v>30</v>
      </c>
      <c r="G133" s="35">
        <v>1900000</v>
      </c>
      <c r="H133" s="34">
        <v>0</v>
      </c>
      <c r="I133" s="35">
        <f t="shared" si="13"/>
        <v>0</v>
      </c>
      <c r="J133" s="84">
        <v>0.35</v>
      </c>
      <c r="K133" s="84">
        <f t="shared" si="10"/>
        <v>-0.35</v>
      </c>
    </row>
    <row r="134" spans="1:11" ht="16.5" hidden="1" x14ac:dyDescent="0.2">
      <c r="A134" s="30"/>
      <c r="B134" s="57"/>
      <c r="C134" s="44" t="s">
        <v>152</v>
      </c>
      <c r="D134" s="44"/>
      <c r="E134" s="43">
        <v>2.2949999999999999</v>
      </c>
      <c r="F134" s="30" t="s">
        <v>30</v>
      </c>
      <c r="G134" s="35">
        <v>1900000</v>
      </c>
      <c r="H134" s="34">
        <v>0</v>
      </c>
      <c r="I134" s="35">
        <f t="shared" si="13"/>
        <v>0</v>
      </c>
      <c r="J134" s="84">
        <v>0.35</v>
      </c>
      <c r="K134" s="84">
        <f t="shared" ref="K134:K169" si="15">H134-J134</f>
        <v>-0.35</v>
      </c>
    </row>
    <row r="135" spans="1:11" ht="16.5" hidden="1" x14ac:dyDescent="0.2">
      <c r="A135" s="30"/>
      <c r="B135" s="57"/>
      <c r="C135" s="44" t="s">
        <v>81</v>
      </c>
      <c r="D135" s="44"/>
      <c r="E135" s="43">
        <v>3.6720000000000002</v>
      </c>
      <c r="F135" s="30" t="s">
        <v>30</v>
      </c>
      <c r="G135" s="35">
        <v>1900000</v>
      </c>
      <c r="H135" s="34">
        <v>0</v>
      </c>
      <c r="I135" s="35">
        <f t="shared" si="13"/>
        <v>0</v>
      </c>
      <c r="J135" s="84">
        <v>0.35</v>
      </c>
      <c r="K135" s="84">
        <f t="shared" si="15"/>
        <v>-0.35</v>
      </c>
    </row>
    <row r="136" spans="1:11" ht="16.5" hidden="1" x14ac:dyDescent="0.2">
      <c r="A136" s="30"/>
      <c r="B136" s="57"/>
      <c r="C136" s="44" t="s">
        <v>153</v>
      </c>
      <c r="D136" s="44"/>
      <c r="E136" s="43">
        <v>1.2240000000000002</v>
      </c>
      <c r="F136" s="30" t="s">
        <v>30</v>
      </c>
      <c r="G136" s="35">
        <v>1900000</v>
      </c>
      <c r="H136" s="34">
        <v>0</v>
      </c>
      <c r="I136" s="35">
        <f t="shared" si="13"/>
        <v>0</v>
      </c>
      <c r="J136" s="84">
        <v>0.35</v>
      </c>
      <c r="K136" s="84">
        <f t="shared" si="15"/>
        <v>-0.35</v>
      </c>
    </row>
    <row r="137" spans="1:11" ht="16.5" hidden="1" x14ac:dyDescent="0.2">
      <c r="A137" s="30"/>
      <c r="B137" s="57"/>
      <c r="C137" s="44" t="s">
        <v>82</v>
      </c>
      <c r="D137" s="44"/>
      <c r="E137" s="43">
        <v>0.54</v>
      </c>
      <c r="F137" s="30" t="s">
        <v>30</v>
      </c>
      <c r="G137" s="35">
        <v>1900000</v>
      </c>
      <c r="H137" s="34">
        <v>0</v>
      </c>
      <c r="I137" s="35">
        <f t="shared" si="13"/>
        <v>0</v>
      </c>
      <c r="J137" s="84">
        <v>0.35</v>
      </c>
      <c r="K137" s="84">
        <f t="shared" si="15"/>
        <v>-0.35</v>
      </c>
    </row>
    <row r="138" spans="1:11" ht="16.5" hidden="1" x14ac:dyDescent="0.2">
      <c r="A138" s="30"/>
      <c r="B138" s="57"/>
      <c r="C138" s="44" t="s">
        <v>83</v>
      </c>
      <c r="D138" s="44"/>
      <c r="E138" s="43">
        <v>9</v>
      </c>
      <c r="F138" s="30" t="s">
        <v>30</v>
      </c>
      <c r="G138" s="35">
        <v>1900000</v>
      </c>
      <c r="H138" s="34">
        <v>0</v>
      </c>
      <c r="I138" s="35">
        <f t="shared" si="13"/>
        <v>0</v>
      </c>
      <c r="J138" s="84">
        <v>0.35</v>
      </c>
      <c r="K138" s="84">
        <f t="shared" si="15"/>
        <v>-0.35</v>
      </c>
    </row>
    <row r="139" spans="1:11" ht="17.25" hidden="1" x14ac:dyDescent="0.25">
      <c r="A139" s="23"/>
      <c r="B139" s="57"/>
      <c r="C139" s="44" t="s">
        <v>84</v>
      </c>
      <c r="D139" s="44"/>
      <c r="E139" s="43">
        <v>7.0200000000000005</v>
      </c>
      <c r="F139" s="30" t="s">
        <v>30</v>
      </c>
      <c r="G139" s="35">
        <v>1900000</v>
      </c>
      <c r="H139" s="34">
        <v>0</v>
      </c>
      <c r="I139" s="35">
        <f t="shared" si="13"/>
        <v>0</v>
      </c>
      <c r="J139" s="84">
        <v>0.35</v>
      </c>
      <c r="K139" s="84">
        <f t="shared" si="15"/>
        <v>-0.35</v>
      </c>
    </row>
    <row r="140" spans="1:11" ht="16.5" hidden="1" x14ac:dyDescent="0.2">
      <c r="A140" s="33"/>
      <c r="B140" s="57"/>
      <c r="C140" s="44" t="s">
        <v>154</v>
      </c>
      <c r="D140" s="44"/>
      <c r="E140" s="43">
        <v>0.55844999999999989</v>
      </c>
      <c r="F140" s="30" t="s">
        <v>30</v>
      </c>
      <c r="G140" s="35">
        <v>1900000</v>
      </c>
      <c r="H140" s="34">
        <v>0</v>
      </c>
      <c r="I140" s="35">
        <f t="shared" si="13"/>
        <v>0</v>
      </c>
      <c r="J140" s="84">
        <v>0.35</v>
      </c>
      <c r="K140" s="84">
        <f t="shared" si="15"/>
        <v>-0.35</v>
      </c>
    </row>
    <row r="141" spans="1:11" ht="16.5" hidden="1" x14ac:dyDescent="0.2">
      <c r="A141" s="33"/>
      <c r="B141" s="57"/>
      <c r="C141" s="44" t="s">
        <v>155</v>
      </c>
      <c r="D141" s="44"/>
      <c r="E141" s="43">
        <v>0.63495000000000001</v>
      </c>
      <c r="F141" s="30" t="s">
        <v>30</v>
      </c>
      <c r="G141" s="35">
        <v>1900000</v>
      </c>
      <c r="H141" s="34">
        <v>0</v>
      </c>
      <c r="I141" s="35">
        <f t="shared" si="13"/>
        <v>0</v>
      </c>
      <c r="J141" s="84">
        <v>0.35</v>
      </c>
      <c r="K141" s="84">
        <f t="shared" si="15"/>
        <v>-0.35</v>
      </c>
    </row>
    <row r="142" spans="1:11" ht="16.5" hidden="1" x14ac:dyDescent="0.2">
      <c r="A142" s="33"/>
      <c r="B142" s="57"/>
      <c r="C142" s="44" t="s">
        <v>156</v>
      </c>
      <c r="D142" s="44"/>
      <c r="E142" s="43">
        <v>0.48194999999999999</v>
      </c>
      <c r="F142" s="30" t="s">
        <v>30</v>
      </c>
      <c r="G142" s="35">
        <v>1900000</v>
      </c>
      <c r="H142" s="34">
        <v>0</v>
      </c>
      <c r="I142" s="35">
        <f t="shared" si="13"/>
        <v>0</v>
      </c>
      <c r="J142" s="84">
        <v>0.35</v>
      </c>
      <c r="K142" s="84">
        <f t="shared" si="15"/>
        <v>-0.35</v>
      </c>
    </row>
    <row r="143" spans="1:11" ht="16.5" hidden="1" x14ac:dyDescent="0.2">
      <c r="A143" s="33"/>
      <c r="B143" s="57"/>
      <c r="C143" s="44" t="s">
        <v>93</v>
      </c>
      <c r="D143" s="44"/>
      <c r="E143" s="43">
        <v>3.8097000000000003</v>
      </c>
      <c r="F143" s="30" t="s">
        <v>30</v>
      </c>
      <c r="G143" s="35">
        <v>1900000</v>
      </c>
      <c r="H143" s="34">
        <v>0</v>
      </c>
      <c r="I143" s="35">
        <f t="shared" si="13"/>
        <v>0</v>
      </c>
      <c r="J143" s="84">
        <v>0.35</v>
      </c>
      <c r="K143" s="84">
        <f t="shared" si="15"/>
        <v>-0.35</v>
      </c>
    </row>
    <row r="144" spans="1:11" ht="16.5" hidden="1" x14ac:dyDescent="0.2">
      <c r="A144" s="33"/>
      <c r="B144" s="57"/>
      <c r="C144" s="44" t="s">
        <v>157</v>
      </c>
      <c r="D144" s="44"/>
      <c r="E144" s="43">
        <v>1.5759000000000001</v>
      </c>
      <c r="F144" s="30" t="s">
        <v>30</v>
      </c>
      <c r="G144" s="35">
        <v>1900000</v>
      </c>
      <c r="H144" s="34">
        <v>0</v>
      </c>
      <c r="I144" s="35">
        <f t="shared" si="13"/>
        <v>0</v>
      </c>
      <c r="J144" s="84">
        <v>0.35</v>
      </c>
      <c r="K144" s="84">
        <f t="shared" si="15"/>
        <v>-0.35</v>
      </c>
    </row>
    <row r="145" spans="1:11" ht="16.5" hidden="1" x14ac:dyDescent="0.2">
      <c r="A145" s="33"/>
      <c r="B145" s="57"/>
      <c r="C145" s="44" t="s">
        <v>95</v>
      </c>
      <c r="D145" s="44"/>
      <c r="E145" s="43">
        <v>6.8062499999999995</v>
      </c>
      <c r="F145" s="30" t="s">
        <v>30</v>
      </c>
      <c r="G145" s="35">
        <v>1900000</v>
      </c>
      <c r="H145" s="34">
        <v>0</v>
      </c>
      <c r="I145" s="35">
        <f t="shared" si="13"/>
        <v>0</v>
      </c>
      <c r="J145" s="84">
        <v>0.35</v>
      </c>
      <c r="K145" s="84">
        <f t="shared" si="15"/>
        <v>-0.35</v>
      </c>
    </row>
    <row r="146" spans="1:11" ht="16.5" hidden="1" x14ac:dyDescent="0.2">
      <c r="A146" s="30">
        <v>6</v>
      </c>
      <c r="B146" s="42" t="s">
        <v>96</v>
      </c>
      <c r="C146" s="42"/>
      <c r="D146" s="15"/>
      <c r="E146" s="43">
        <v>5.4621000000000013</v>
      </c>
      <c r="F146" s="30" t="s">
        <v>30</v>
      </c>
      <c r="G146" s="35">
        <v>2100000</v>
      </c>
      <c r="H146" s="34">
        <v>0</v>
      </c>
      <c r="I146" s="35">
        <f>E146*G146*H146</f>
        <v>0</v>
      </c>
      <c r="J146" s="84">
        <v>0.35</v>
      </c>
      <c r="K146" s="84">
        <f t="shared" si="15"/>
        <v>-0.35</v>
      </c>
    </row>
    <row r="147" spans="1:11" ht="16.5" hidden="1" x14ac:dyDescent="0.2">
      <c r="A147" s="30">
        <v>7</v>
      </c>
      <c r="B147" s="42" t="s">
        <v>97</v>
      </c>
      <c r="C147" s="42"/>
      <c r="D147" s="15"/>
      <c r="E147" s="43">
        <v>6.3682000000000007</v>
      </c>
      <c r="F147" s="30" t="s">
        <v>30</v>
      </c>
      <c r="G147" s="28">
        <v>2100000</v>
      </c>
      <c r="H147" s="34">
        <v>0</v>
      </c>
      <c r="I147" s="35">
        <f t="shared" si="13"/>
        <v>0</v>
      </c>
      <c r="J147" s="84">
        <v>0.35</v>
      </c>
      <c r="K147" s="84">
        <f t="shared" si="15"/>
        <v>-0.35</v>
      </c>
    </row>
    <row r="148" spans="1:11" ht="16.5" hidden="1" x14ac:dyDescent="0.2">
      <c r="A148" s="30">
        <v>8</v>
      </c>
      <c r="B148" s="42" t="s">
        <v>101</v>
      </c>
      <c r="C148" s="42"/>
      <c r="D148" s="26"/>
      <c r="E148" s="43">
        <v>4.95</v>
      </c>
      <c r="F148" s="30" t="s">
        <v>30</v>
      </c>
      <c r="G148" s="35">
        <f>[2]A!$F$72</f>
        <v>2100000</v>
      </c>
      <c r="H148" s="34">
        <v>0</v>
      </c>
      <c r="I148" s="35">
        <f t="shared" si="13"/>
        <v>0</v>
      </c>
      <c r="J148" s="84">
        <v>0.35</v>
      </c>
      <c r="K148" s="84">
        <f t="shared" si="15"/>
        <v>-0.35</v>
      </c>
    </row>
    <row r="149" spans="1:11" ht="16.5" hidden="1" x14ac:dyDescent="0.2">
      <c r="A149" s="30">
        <v>9</v>
      </c>
      <c r="B149" s="42" t="s">
        <v>158</v>
      </c>
      <c r="C149" s="42"/>
      <c r="D149" s="26"/>
      <c r="E149" s="43">
        <v>5.4298000000000002</v>
      </c>
      <c r="F149" s="30" t="s">
        <v>30</v>
      </c>
      <c r="G149" s="35">
        <f>[2]A!$F$73</f>
        <v>1800000</v>
      </c>
      <c r="H149" s="34">
        <v>0</v>
      </c>
      <c r="I149" s="35">
        <f t="shared" si="13"/>
        <v>0</v>
      </c>
      <c r="J149" s="84">
        <v>0.35</v>
      </c>
      <c r="K149" s="84">
        <f t="shared" si="15"/>
        <v>-0.35</v>
      </c>
    </row>
    <row r="150" spans="1:11" ht="15" hidden="1" x14ac:dyDescent="0.25">
      <c r="A150" s="23"/>
      <c r="B150" s="24"/>
      <c r="C150" s="25"/>
      <c r="D150" s="26"/>
      <c r="E150" s="46"/>
      <c r="F150" s="46"/>
      <c r="G150" s="46"/>
      <c r="H150" s="47"/>
      <c r="I150" s="120"/>
      <c r="J150" s="84">
        <v>0.35</v>
      </c>
      <c r="K150" s="84">
        <f t="shared" si="15"/>
        <v>-0.35</v>
      </c>
    </row>
    <row r="151" spans="1:11" customFormat="1" ht="12" customHeight="1" x14ac:dyDescent="0.2">
      <c r="A151" s="115" t="s">
        <v>178</v>
      </c>
      <c r="B151" s="116" t="s">
        <v>169</v>
      </c>
      <c r="C151" s="117"/>
      <c r="D151" s="111"/>
      <c r="E151" s="125"/>
      <c r="F151" s="126"/>
      <c r="G151" s="127"/>
      <c r="H151" s="127"/>
      <c r="I151" s="127"/>
    </row>
    <row r="152" spans="1:11" s="124" customFormat="1" x14ac:dyDescent="0.2">
      <c r="A152" s="122">
        <v>1</v>
      </c>
      <c r="B152" s="123" t="s">
        <v>170</v>
      </c>
      <c r="C152" s="58"/>
      <c r="D152" s="58"/>
      <c r="E152" s="128">
        <v>120</v>
      </c>
      <c r="F152" s="129" t="s">
        <v>23</v>
      </c>
      <c r="G152" s="130">
        <v>100000</v>
      </c>
      <c r="H152" s="187">
        <v>0.5</v>
      </c>
      <c r="I152" s="188">
        <f t="shared" ref="I152" si="16">E152*G152*H152</f>
        <v>6000000</v>
      </c>
      <c r="J152" s="71">
        <v>0.5</v>
      </c>
      <c r="K152" s="71">
        <f t="shared" ref="K152:K153" si="17">H152-J152</f>
        <v>0</v>
      </c>
    </row>
    <row r="153" spans="1:11" s="124" customFormat="1" x14ac:dyDescent="0.2">
      <c r="A153" s="122">
        <v>2</v>
      </c>
      <c r="B153" s="123" t="s">
        <v>171</v>
      </c>
      <c r="C153" s="58"/>
      <c r="D153" s="58"/>
      <c r="E153" s="128">
        <v>60</v>
      </c>
      <c r="F153" s="129" t="s">
        <v>23</v>
      </c>
      <c r="G153" s="130">
        <v>85000</v>
      </c>
      <c r="H153" s="178">
        <v>0.5</v>
      </c>
      <c r="I153" s="179">
        <f t="shared" ref="I153:I159" si="18">E153*G153*H153</f>
        <v>2550000</v>
      </c>
      <c r="J153" s="183">
        <v>0.4</v>
      </c>
      <c r="K153" s="183">
        <f t="shared" si="17"/>
        <v>9.9999999999999978E-2</v>
      </c>
    </row>
    <row r="154" spans="1:11" customFormat="1" x14ac:dyDescent="0.2">
      <c r="A154" s="112">
        <v>3</v>
      </c>
      <c r="B154" s="113" t="s">
        <v>172</v>
      </c>
      <c r="C154" s="56"/>
      <c r="D154" s="56"/>
      <c r="E154" s="131">
        <v>240</v>
      </c>
      <c r="F154" s="127" t="s">
        <v>23</v>
      </c>
      <c r="G154" s="130">
        <v>80000</v>
      </c>
      <c r="H154" s="178">
        <v>0.25</v>
      </c>
      <c r="I154" s="179">
        <f t="shared" si="18"/>
        <v>4800000</v>
      </c>
      <c r="J154" s="183">
        <v>0</v>
      </c>
      <c r="K154" s="183">
        <f t="shared" ref="K154" si="19">H154-J154</f>
        <v>0.25</v>
      </c>
    </row>
    <row r="155" spans="1:11" customFormat="1" x14ac:dyDescent="0.2">
      <c r="A155" s="112">
        <v>4</v>
      </c>
      <c r="B155" s="113" t="s">
        <v>173</v>
      </c>
      <c r="C155" s="56"/>
      <c r="D155" s="56"/>
      <c r="E155" s="131">
        <v>240</v>
      </c>
      <c r="F155" s="127" t="s">
        <v>23</v>
      </c>
      <c r="G155" s="125">
        <v>30000</v>
      </c>
      <c r="H155" s="192">
        <v>0.05</v>
      </c>
      <c r="I155" s="193">
        <f t="shared" si="18"/>
        <v>360000</v>
      </c>
      <c r="J155" s="183">
        <v>0</v>
      </c>
      <c r="K155" s="183">
        <f t="shared" ref="K155" si="20">H155-J155</f>
        <v>0.05</v>
      </c>
    </row>
    <row r="156" spans="1:11" customFormat="1" x14ac:dyDescent="0.2">
      <c r="A156" s="112">
        <v>5</v>
      </c>
      <c r="B156" s="114" t="s">
        <v>174</v>
      </c>
      <c r="C156" s="56"/>
      <c r="D156" s="56"/>
      <c r="E156" s="131">
        <v>1216</v>
      </c>
      <c r="F156" s="127" t="s">
        <v>23</v>
      </c>
      <c r="G156" s="125">
        <v>30000</v>
      </c>
      <c r="H156" s="132">
        <v>0</v>
      </c>
      <c r="I156" s="133">
        <f t="shared" si="18"/>
        <v>0</v>
      </c>
    </row>
    <row r="157" spans="1:11" customFormat="1" x14ac:dyDescent="0.2">
      <c r="A157" s="112">
        <v>6</v>
      </c>
      <c r="B157" s="114" t="s">
        <v>175</v>
      </c>
      <c r="C157" s="56"/>
      <c r="D157" s="56"/>
      <c r="E157" s="131">
        <v>64</v>
      </c>
      <c r="F157" s="127" t="s">
        <v>23</v>
      </c>
      <c r="G157" s="125">
        <f>[2]A!$F$154</f>
        <v>30000</v>
      </c>
      <c r="H157" s="132">
        <v>0</v>
      </c>
      <c r="I157" s="133">
        <f t="shared" si="18"/>
        <v>0</v>
      </c>
    </row>
    <row r="158" spans="1:11" customFormat="1" x14ac:dyDescent="0.2">
      <c r="A158" s="112">
        <v>7</v>
      </c>
      <c r="B158" s="114" t="s">
        <v>177</v>
      </c>
      <c r="C158" s="56"/>
      <c r="D158" s="56"/>
      <c r="E158" s="131">
        <v>4</v>
      </c>
      <c r="F158" s="127" t="s">
        <v>176</v>
      </c>
      <c r="G158" s="134">
        <f>[2]A!$F$158</f>
        <v>550000</v>
      </c>
      <c r="H158" s="132">
        <v>0</v>
      </c>
      <c r="I158" s="133">
        <f t="shared" si="18"/>
        <v>0</v>
      </c>
    </row>
    <row r="159" spans="1:11" customFormat="1" x14ac:dyDescent="0.2">
      <c r="A159" s="118">
        <v>8</v>
      </c>
      <c r="B159" s="119" t="s">
        <v>179</v>
      </c>
      <c r="C159" s="56"/>
      <c r="D159" s="56"/>
      <c r="E159" s="131">
        <v>1</v>
      </c>
      <c r="F159" s="127" t="s">
        <v>176</v>
      </c>
      <c r="G159" s="125">
        <v>10000000</v>
      </c>
      <c r="H159" s="132">
        <v>0</v>
      </c>
      <c r="I159" s="133">
        <f t="shared" si="18"/>
        <v>0</v>
      </c>
    </row>
    <row r="160" spans="1:11" hidden="1" x14ac:dyDescent="0.2">
      <c r="A160" s="30"/>
      <c r="B160" s="31"/>
      <c r="C160" s="14"/>
      <c r="D160" s="14"/>
      <c r="E160" s="135"/>
      <c r="F160" s="136"/>
      <c r="G160" s="133"/>
      <c r="H160" s="132"/>
      <c r="I160" s="133"/>
      <c r="J160" s="84">
        <v>0.35</v>
      </c>
      <c r="K160" s="84">
        <f t="shared" si="15"/>
        <v>-0.35</v>
      </c>
    </row>
    <row r="161" spans="1:13" hidden="1" x14ac:dyDescent="0.2">
      <c r="A161" s="30"/>
      <c r="B161" s="39"/>
      <c r="C161" s="25"/>
      <c r="D161" s="26"/>
      <c r="E161" s="49"/>
      <c r="F161" s="33"/>
      <c r="G161" s="28"/>
      <c r="H161" s="121"/>
      <c r="I161" s="28"/>
      <c r="J161" s="84">
        <v>0.35</v>
      </c>
      <c r="K161" s="84">
        <f t="shared" si="15"/>
        <v>-0.35</v>
      </c>
    </row>
    <row r="162" spans="1:13" hidden="1" x14ac:dyDescent="0.2">
      <c r="A162" s="30"/>
      <c r="B162" s="31"/>
      <c r="C162" s="14"/>
      <c r="D162" s="15"/>
      <c r="E162" s="49"/>
      <c r="F162" s="30"/>
      <c r="G162" s="35"/>
      <c r="H162" s="34"/>
      <c r="I162" s="35"/>
      <c r="J162" s="84">
        <v>0.35</v>
      </c>
      <c r="K162" s="84">
        <f t="shared" si="15"/>
        <v>-0.35</v>
      </c>
    </row>
    <row r="163" spans="1:13" hidden="1" x14ac:dyDescent="0.2">
      <c r="A163" s="30"/>
      <c r="B163" s="31"/>
      <c r="C163" s="14"/>
      <c r="D163" s="15"/>
      <c r="E163" s="49"/>
      <c r="F163" s="30"/>
      <c r="G163" s="35"/>
      <c r="H163" s="34"/>
      <c r="I163" s="35"/>
      <c r="J163" s="84">
        <v>0.35</v>
      </c>
      <c r="K163" s="84">
        <f t="shared" si="15"/>
        <v>-0.35</v>
      </c>
    </row>
    <row r="164" spans="1:13" hidden="1" x14ac:dyDescent="0.2">
      <c r="A164" s="30"/>
      <c r="B164" s="31"/>
      <c r="C164" s="14"/>
      <c r="D164" s="15"/>
      <c r="E164" s="49"/>
      <c r="F164" s="30"/>
      <c r="G164" s="35"/>
      <c r="H164" s="34"/>
      <c r="I164" s="35"/>
      <c r="J164" s="84">
        <v>0.35</v>
      </c>
      <c r="K164" s="84">
        <f t="shared" si="15"/>
        <v>-0.35</v>
      </c>
    </row>
    <row r="165" spans="1:13" hidden="1" x14ac:dyDescent="0.2">
      <c r="A165" s="30"/>
      <c r="B165" s="31"/>
      <c r="C165" s="14"/>
      <c r="D165" s="15"/>
      <c r="E165" s="49"/>
      <c r="F165" s="30"/>
      <c r="G165" s="35"/>
      <c r="H165" s="34"/>
      <c r="I165" s="35"/>
      <c r="J165" s="84">
        <v>0.35</v>
      </c>
      <c r="K165" s="84">
        <f t="shared" si="15"/>
        <v>-0.35</v>
      </c>
    </row>
    <row r="166" spans="1:13" hidden="1" x14ac:dyDescent="0.2">
      <c r="A166" s="30"/>
      <c r="B166" s="31"/>
      <c r="C166" s="14"/>
      <c r="D166" s="15"/>
      <c r="E166" s="49"/>
      <c r="F166" s="30"/>
      <c r="G166" s="35"/>
      <c r="H166" s="34"/>
      <c r="I166" s="35"/>
      <c r="J166" s="84">
        <v>0.35</v>
      </c>
      <c r="K166" s="84">
        <f t="shared" si="15"/>
        <v>-0.35</v>
      </c>
    </row>
    <row r="167" spans="1:13" hidden="1" x14ac:dyDescent="0.2">
      <c r="A167" s="30"/>
      <c r="B167" s="31"/>
      <c r="C167" s="14"/>
      <c r="D167" s="15"/>
      <c r="E167" s="49"/>
      <c r="F167" s="30"/>
      <c r="G167" s="35"/>
      <c r="H167" s="34"/>
      <c r="I167" s="35"/>
      <c r="J167" s="84">
        <v>0.35</v>
      </c>
      <c r="K167" s="84">
        <f t="shared" si="15"/>
        <v>-0.35</v>
      </c>
    </row>
    <row r="168" spans="1:13" hidden="1" x14ac:dyDescent="0.2">
      <c r="A168" s="30"/>
      <c r="B168" s="31"/>
      <c r="C168" s="14"/>
      <c r="D168" s="15"/>
      <c r="E168" s="48"/>
      <c r="F168" s="30"/>
      <c r="G168" s="35"/>
      <c r="H168" s="34"/>
      <c r="I168" s="35"/>
      <c r="J168" s="84">
        <v>0.35</v>
      </c>
      <c r="K168" s="84">
        <f t="shared" si="15"/>
        <v>-0.35</v>
      </c>
    </row>
    <row r="169" spans="1:13" ht="15" hidden="1" x14ac:dyDescent="0.25">
      <c r="A169" s="30"/>
      <c r="B169" s="31"/>
      <c r="C169" s="20"/>
      <c r="D169" s="20"/>
      <c r="E169" s="22"/>
      <c r="F169" s="22"/>
      <c r="G169" s="22"/>
      <c r="H169" s="22"/>
      <c r="I169" s="60">
        <f>SUM(I11:I168)</f>
        <v>147982117.38125002</v>
      </c>
      <c r="J169" s="84">
        <v>0.35</v>
      </c>
      <c r="K169" s="84">
        <f t="shared" si="15"/>
        <v>-0.35</v>
      </c>
    </row>
    <row r="170" spans="1:13" ht="15" thickBot="1" x14ac:dyDescent="0.25">
      <c r="A170" s="50"/>
      <c r="B170" s="51"/>
      <c r="C170" s="52"/>
      <c r="D170" s="61"/>
      <c r="E170" s="62"/>
      <c r="F170" s="62"/>
      <c r="G170" s="62"/>
      <c r="H170" s="62"/>
      <c r="I170" s="62"/>
      <c r="J170" s="71"/>
      <c r="K170" s="181" t="s">
        <v>168</v>
      </c>
      <c r="L170" s="182"/>
    </row>
    <row r="171" spans="1:13" ht="15.75" thickTop="1" x14ac:dyDescent="0.25">
      <c r="A171" s="53"/>
      <c r="B171" s="63" t="s">
        <v>104</v>
      </c>
      <c r="C171" s="63"/>
      <c r="D171" s="63"/>
      <c r="E171" s="64"/>
      <c r="F171" s="64"/>
      <c r="G171" s="64"/>
      <c r="H171" s="64"/>
      <c r="I171" s="65">
        <f>I169</f>
        <v>147982117.38125002</v>
      </c>
      <c r="K171"/>
      <c r="L171" s="106">
        <f>SUM(L90:L170)</f>
        <v>9811800</v>
      </c>
    </row>
    <row r="172" spans="1:13" x14ac:dyDescent="0.2">
      <c r="A172" s="54"/>
      <c r="B172" s="64" t="s">
        <v>105</v>
      </c>
      <c r="C172" s="64"/>
      <c r="D172" s="64"/>
      <c r="E172" s="64"/>
      <c r="F172" s="64"/>
      <c r="G172" s="64"/>
      <c r="H172" s="64"/>
      <c r="I172" s="66">
        <f>0.1*I171</f>
        <v>14798211.738125004</v>
      </c>
      <c r="K172"/>
      <c r="L172"/>
    </row>
    <row r="173" spans="1:13" x14ac:dyDescent="0.2">
      <c r="A173" s="54"/>
      <c r="B173" s="64" t="s">
        <v>106</v>
      </c>
      <c r="C173" s="64"/>
      <c r="D173" s="64"/>
      <c r="E173" s="67"/>
      <c r="F173" s="64"/>
      <c r="G173" s="64"/>
      <c r="H173" s="64"/>
      <c r="I173" s="66">
        <f>I171-I172</f>
        <v>133183905.64312503</v>
      </c>
      <c r="K173"/>
      <c r="L173"/>
    </row>
    <row r="174" spans="1:13" x14ac:dyDescent="0.2">
      <c r="A174" s="54"/>
      <c r="B174" s="64" t="s">
        <v>107</v>
      </c>
      <c r="C174" s="64"/>
      <c r="D174" s="64"/>
      <c r="E174" s="64"/>
      <c r="F174" s="64"/>
      <c r="G174" s="64"/>
      <c r="H174" s="64"/>
      <c r="I174" s="66">
        <f>[3]Opname_9!$I$173</f>
        <v>123388305.64312503</v>
      </c>
      <c r="K174"/>
      <c r="L174"/>
      <c r="M174" s="83"/>
    </row>
    <row r="175" spans="1:13" x14ac:dyDescent="0.2">
      <c r="A175" s="54"/>
      <c r="B175" s="64" t="s">
        <v>108</v>
      </c>
      <c r="C175" s="64"/>
      <c r="D175" s="64"/>
      <c r="E175" s="81">
        <f>2500000+2000000</f>
        <v>4500000</v>
      </c>
      <c r="F175" s="64"/>
      <c r="G175" s="64"/>
      <c r="H175" s="64"/>
      <c r="I175" s="68"/>
      <c r="K175"/>
      <c r="L175"/>
    </row>
    <row r="176" spans="1:13" ht="15" x14ac:dyDescent="0.25">
      <c r="A176" s="55"/>
      <c r="B176" s="69" t="s">
        <v>109</v>
      </c>
      <c r="C176" s="69"/>
      <c r="D176" s="69"/>
      <c r="E176" s="69"/>
      <c r="F176" s="69"/>
      <c r="G176" s="69"/>
      <c r="H176" s="69"/>
      <c r="I176" s="82">
        <f>I173-I174+I175</f>
        <v>9795600</v>
      </c>
      <c r="K176"/>
      <c r="L176"/>
    </row>
    <row r="177" spans="2:9" x14ac:dyDescent="0.2">
      <c r="B177" s="70"/>
      <c r="C177" s="70"/>
      <c r="D177" s="70"/>
      <c r="E177" s="70"/>
      <c r="F177" s="70"/>
      <c r="G177" s="70"/>
      <c r="H177" s="70"/>
      <c r="I177" s="70"/>
    </row>
    <row r="178" spans="2:9" x14ac:dyDescent="0.2">
      <c r="B178" s="3"/>
      <c r="C178" s="3"/>
      <c r="D178" s="3"/>
      <c r="E178" s="3"/>
      <c r="F178" s="3"/>
      <c r="G178" s="3"/>
      <c r="H178" s="6" t="s">
        <v>120</v>
      </c>
      <c r="I178" s="180" t="str">
        <f>D5</f>
        <v>19 Agustus 2021</v>
      </c>
    </row>
    <row r="179" spans="2:9" x14ac:dyDescent="0.2">
      <c r="B179" s="3"/>
      <c r="C179" s="7" t="s">
        <v>110</v>
      </c>
      <c r="E179" s="7" t="s">
        <v>111</v>
      </c>
      <c r="G179" s="3"/>
      <c r="H179" s="3"/>
      <c r="I179" s="7" t="s">
        <v>112</v>
      </c>
    </row>
    <row r="180" spans="2:9" x14ac:dyDescent="0.2">
      <c r="B180" s="3"/>
      <c r="C180" s="3"/>
      <c r="D180" s="3"/>
      <c r="E180" s="7"/>
      <c r="G180" s="3"/>
      <c r="H180" s="3"/>
      <c r="I180" s="7"/>
    </row>
    <row r="181" spans="2:9" x14ac:dyDescent="0.2">
      <c r="B181" s="3"/>
      <c r="C181" s="3"/>
      <c r="D181" s="3"/>
      <c r="E181" s="7"/>
      <c r="G181" s="3"/>
      <c r="H181" s="3"/>
      <c r="I181" s="191"/>
    </row>
    <row r="182" spans="2:9" x14ac:dyDescent="0.2">
      <c r="B182" s="3"/>
      <c r="C182" s="3"/>
      <c r="D182" s="3"/>
      <c r="E182" s="7"/>
      <c r="G182" s="3"/>
      <c r="H182" s="3"/>
      <c r="I182" s="7"/>
    </row>
    <row r="183" spans="2:9" x14ac:dyDescent="0.2">
      <c r="B183" s="3"/>
      <c r="C183" s="7" t="s">
        <v>113</v>
      </c>
      <c r="E183" s="7" t="s">
        <v>114</v>
      </c>
      <c r="G183" s="3"/>
      <c r="H183" s="3"/>
      <c r="I183" s="7" t="s">
        <v>115</v>
      </c>
    </row>
    <row r="184" spans="2:9" x14ac:dyDescent="0.2">
      <c r="B184" s="3"/>
      <c r="C184" s="3"/>
      <c r="D184" s="3"/>
      <c r="E184" s="7"/>
      <c r="G184" s="3"/>
      <c r="H184" s="3"/>
      <c r="I184" s="7"/>
    </row>
    <row r="185" spans="2:9" x14ac:dyDescent="0.2">
      <c r="B185" s="3"/>
      <c r="C185" s="3"/>
      <c r="D185" s="3" t="s">
        <v>159</v>
      </c>
      <c r="E185" s="7"/>
      <c r="G185" s="3"/>
      <c r="H185" s="3"/>
      <c r="I185" s="7"/>
    </row>
    <row r="186" spans="2:9" x14ac:dyDescent="0.2">
      <c r="B186" s="3"/>
      <c r="C186" s="7" t="s">
        <v>116</v>
      </c>
      <c r="E186" s="7" t="s">
        <v>117</v>
      </c>
      <c r="G186" s="3"/>
      <c r="H186" s="3"/>
      <c r="I186" s="7" t="s">
        <v>112</v>
      </c>
    </row>
    <row r="187" spans="2:9" x14ac:dyDescent="0.2">
      <c r="B187" s="3"/>
      <c r="C187" s="3"/>
      <c r="D187" s="3"/>
      <c r="E187" s="7"/>
      <c r="G187" s="3"/>
      <c r="H187" s="3"/>
      <c r="I187" s="7"/>
    </row>
    <row r="188" spans="2:9" x14ac:dyDescent="0.2">
      <c r="B188" s="3"/>
      <c r="C188" s="3"/>
      <c r="D188" s="3"/>
      <c r="E188" s="7"/>
      <c r="G188" s="3"/>
      <c r="H188" s="3"/>
      <c r="I188" s="7"/>
    </row>
    <row r="189" spans="2:9" x14ac:dyDescent="0.2">
      <c r="B189" s="3"/>
      <c r="C189" s="3"/>
      <c r="D189" s="3"/>
      <c r="E189" s="7"/>
      <c r="G189" s="3"/>
      <c r="H189" s="3"/>
      <c r="I189" s="7"/>
    </row>
    <row r="190" spans="2:9" x14ac:dyDescent="0.2">
      <c r="B190" s="3"/>
      <c r="C190" s="7" t="s">
        <v>118</v>
      </c>
      <c r="E190" s="7" t="s">
        <v>119</v>
      </c>
      <c r="G190" s="3"/>
      <c r="H190" s="3"/>
      <c r="I190" s="7" t="s">
        <v>121</v>
      </c>
    </row>
    <row r="191" spans="2:9" x14ac:dyDescent="0.2">
      <c r="H191" s="3"/>
      <c r="I191" s="3"/>
    </row>
    <row r="192" spans="2:9" x14ac:dyDescent="0.2">
      <c r="I192" s="3"/>
    </row>
    <row r="193" spans="9:9" x14ac:dyDescent="0.2">
      <c r="I193" s="3"/>
    </row>
    <row r="194" spans="9:9" x14ac:dyDescent="0.2">
      <c r="I194" s="3"/>
    </row>
    <row r="195" spans="9:9" x14ac:dyDescent="0.2">
      <c r="I195" s="3"/>
    </row>
    <row r="196" spans="9:9" x14ac:dyDescent="0.2">
      <c r="I196" s="3"/>
    </row>
  </sheetData>
  <mergeCells count="2">
    <mergeCell ref="A7:A8"/>
    <mergeCell ref="B7:D8"/>
  </mergeCells>
  <pageMargins left="0.59055118110236227" right="0.43307086614173229" top="0.94488188976377963" bottom="1.1023622047244095" header="0.31496062992125984" footer="0.31496062992125984"/>
  <pageSetup paperSize="9" scale="85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Opname_9</vt:lpstr>
      <vt:lpstr>Opname_9!Print_Area</vt:lpstr>
      <vt:lpstr>Opname_9!Print_Titles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M4570K0</dc:creator>
  <cp:lastModifiedBy>WIN10</cp:lastModifiedBy>
  <cp:lastPrinted>2021-08-20T02:59:21Z</cp:lastPrinted>
  <dcterms:created xsi:type="dcterms:W3CDTF">2021-07-07T08:14:49Z</dcterms:created>
  <dcterms:modified xsi:type="dcterms:W3CDTF">2021-08-20T03:08:39Z</dcterms:modified>
</cp:coreProperties>
</file>